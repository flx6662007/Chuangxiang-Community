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cdc74587e649bf" /></Relationships>
</file>

<file path=xl/workbook.xml><?xml version="1.0" encoding="utf-8"?>
<x:workbook xmlns:x="http://schemas.openxmlformats.org/spreadsheetml/2006/main">
  <x:sheets>
    <x:sheet xmlns:r="http://schemas.openxmlformats.org/officeDocument/2006/relationships" name="赛事索引" sheetId="1" r:id="R69c52fe0376a4650"/>
    <x:sheet xmlns:r="http://schemas.openxmlformats.org/officeDocument/2006/relationships" name="学习资料" sheetId="2" r:id="R6d07da2fb413489a"/>
    <x:sheet xmlns:r="http://schemas.openxmlformats.org/officeDocument/2006/relationships" name="赛事来源" sheetId="3" r:id="R0ccc946b9fc34eee"/>
    <x:sheet xmlns:r="http://schemas.openxmlformats.org/officeDocument/2006/relationships" name="说明" sheetId="4" r:id="R96e46bc10a1b4a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color rgb="FF25384B"/>
      <x:name val="Arial"/>
    </x:font>
    <x:font>
      <x:b/>
      <x:sz val="10"/>
      <x:color rgb="FF123F62"/>
      <x:name val="Arial"/>
    </x:font>
    <x:font>
      <x:sz val="10"/>
      <x:color rgb="FF1666AE"/>
      <x:name val="Arial"/>
    </x:font>
    <x:font>
      <x:sz val="11"/>
      <x:color rgb="FF25384B"/>
      <x:name val="Arial"/>
    </x:font>
    <x:font>
      <x:b/>
      <x:sz val="11"/>
      <x:color rgb="FF123F62"/>
      <x:name val="Arial"/>
    </x:font>
  </x:fonts>
  <x:fills count="3">
    <x:fill>
      <x:patternFill patternType="none"/>
    </x:fill>
    <x:fill>
      <x:patternFill patternType="gray125"/>
    </x:fill>
    <x:fill>
      <x:patternFill patternType="solid">
        <x:fgColor rgb="FFDDECF9"/>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cellXfs>
  <x:cellStyles count="1">
    <x:cellStyle name="Normal" xfId="0"/>
  </x:cellStyles>
  <x:dxfs count="2">
    <x:dxf>
      <x:font>
        <x:b/>
        <x:color rgb="FF7D4E00"/>
      </x:font>
      <x:fill>
        <x:patternFill patternType="solid">
          <x:bgColor rgb="FFFFF2CD"/>
        </x:patternFill>
      </x:fill>
    </x:dxf>
    <x:dxf>
      <x:font>
        <x:b/>
        <x:color rgb="FF7D4E00"/>
      </x:font>
      <x:fill>
        <x:patternFill patternType="solid">
          <x:bgColor rgb="FFFFF2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edf520f635485d" /><Relationship Type="http://schemas.openxmlformats.org/officeDocument/2006/relationships/theme" Target="/xl/theme/theme1.xml" Id="R3c1afc955d1a407c" /><Relationship Type="http://schemas.openxmlformats.org/officeDocument/2006/relationships/sharedStrings" Target="/xl/sharedStrings.xml" Id="Rbc42c9b9fd274ea5" /><Relationship Type="http://schemas.openxmlformats.org/officeDocument/2006/relationships/worksheet" Target="/xl/worksheets/sheet1.xml" Id="R69c52fe0376a4650" /><Relationship Type="http://schemas.openxmlformats.org/officeDocument/2006/relationships/worksheet" Target="/xl/worksheets/sheet2.xml" Id="R6d07da2fb413489a" /><Relationship Type="http://schemas.openxmlformats.org/officeDocument/2006/relationships/worksheet" Target="/xl/worksheets/sheet3.xml" Id="R0ccc946b9fc34eee" /><Relationship Type="http://schemas.openxmlformats.org/officeDocument/2006/relationships/worksheet" Target="/xl/worksheets/sheet4.xml" Id="R96e46bc10a1b4a36" /></Relationships>
</file>

<file path=xl/tables/table1.xml><?xml version="1.0" encoding="utf-8"?>
<x:table xmlns:x="http://schemas.openxmlformats.org/spreadsheetml/2006/main" id="1" name="CompetitionIndex" displayName="CompetitionIndex" ref="A1:N90" headerRowCount="1" totalsRowCount="0" totalsRowShown="0">
  <x:autoFilter ref="A1:N90"/>
  <x:tableColumns count="14">
    <x:tableColumn id="1" name="序号"/>
    <x:tableColumn id="2" name="目录编号"/>
    <x:tableColumn id="3" name="赛事名称"/>
    <x:tableColumn id="4" name="目录等级"/>
    <x:tableColumn id="5" name="届次与范围"/>
    <x:tableColumn id="6" name="对应关系"/>
    <x:tableColumn id="7" name="赛事来源状态"/>
    <x:tableColumn id="8" name="来源数"/>
    <x:tableColumn id="9" name="学习资料数"/>
    <x:tableColumn id="10" name="主要入口"/>
    <x:tableColumn id="11" name="主要来源网址"/>
    <x:tableColumn id="12" name="赛事简介"/>
    <x:tableColumn id="13" name="缺项与后续核对"/>
    <x:tableColumn id="14" name="整理日期"/>
  </x:tableColumns>
  <x:tableStyleInfo name="TableStyleLight9" showFirstColumn="0" showLastColumn="0" showRowStripes="1" showColumnStripes="0"/>
</x:table>
</file>

<file path=xl/tables/table2.xml><?xml version="1.0" encoding="utf-8"?>
<x:table xmlns:x="http://schemas.openxmlformats.org/spreadsheetml/2006/main" id="2" name="LearningResources" displayName="LearningResources" ref="A1:P213" headerRowCount="1" totalsRowCount="0" totalsRowShown="0">
  <x:autoFilter ref="A1:P213"/>
  <x:tableColumns count="16">
    <x:tableColumn id="1" name="资料序号"/>
    <x:tableColumn id="2" name="目录编号"/>
    <x:tableColumn id="3" name="赛事名称"/>
    <x:tableColumn id="4" name="资料名称"/>
    <x:tableColumn id="5" name="资料类型"/>
    <x:tableColumn id="6" name="发布方"/>
    <x:tableColumn id="7" name="学习层次"/>
    <x:tableColumn id="8" name="适用范围"/>
    <x:tableColumn id="9" name="学习用途"/>
    <x:tableColumn id="10" name="获取条件"/>
    <x:tableColumn id="11" name="证据代码"/>
    <x:tableColumn id="12" name="核验程度"/>
    <x:tableColumn id="13" name="资料链接"/>
    <x:tableColumn id="14" name="来源网址"/>
    <x:tableColumn id="15" name="资料摘要"/>
    <x:tableColumn id="16" name="整理日期"/>
  </x:tableColumns>
  <x:tableStyleInfo name="TableStyleLight9" showFirstColumn="0" showLastColumn="0" showRowStripes="1" showColumnStripes="0"/>
</x:table>
</file>

<file path=xl/tables/table3.xml><?xml version="1.0" encoding="utf-8"?>
<x:table xmlns:x="http://schemas.openxmlformats.org/spreadsheetml/2006/main" id="3" name="CompetitionSources" displayName="CompetitionSources" ref="A1:M122" headerRowCount="1" totalsRowCount="0" totalsRowShown="0">
  <x:autoFilter ref="A1:M122"/>
  <x:tableColumns count="13">
    <x:tableColumn id="1" name="来源序号"/>
    <x:tableColumn id="2" name="目录编号"/>
    <x:tableColumn id="3" name="赛事名称"/>
    <x:tableColumn id="4" name="页面名称"/>
    <x:tableColumn id="5" name="发布方"/>
    <x:tableColumn id="6" name="来源类型"/>
    <x:tableColumn id="7" name="证据代码"/>
    <x:tableColumn id="8" name="核验程度"/>
    <x:tableColumn id="9" name="原文发布日期"/>
    <x:tableColumn id="10" name="来源链接"/>
    <x:tableColumn id="11" name="来源网址"/>
    <x:tableColumn id="12" name="内容摘要"/>
    <x:tableColumn id="13" name="整理日期"/>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999cede7544e4e" /></Relationships>
</file>

<file path=xl/worksheets/_rels/sheet2.xml.rels>&#65279;<?xml version="1.0" encoding="utf-8"?><Relationships xmlns="http://schemas.openxmlformats.org/package/2006/relationships"><Relationship Type="http://schemas.openxmlformats.org/officeDocument/2006/relationships/table" Target="/xl/tables/table2.xml" Id="Rbba439ed48634953" /></Relationships>
</file>

<file path=xl/worksheets/_rels/sheet3.xml.rels>&#65279;<?xml version="1.0" encoding="utf-8"?><Relationships xmlns="http://schemas.openxmlformats.org/package/2006/relationships"><Relationship Type="http://schemas.openxmlformats.org/officeDocument/2006/relationships/table" Target="/xl/tables/table3.xml" Id="R33ee0bdc00854dad" /></Relationships>
</file>

<file path=xl/worksheets/sheet1.xml><?xml version="1.0" encoding="utf-8"?>
<x:worksheet xmlns:x="http://schemas.openxmlformats.org/spreadsheetml/2006/main">
  <x:sheetPr>
    <x:tabColor rgb="FF2773AF"/>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38" hidden="0" customWidth="1"/>
    <x:col min="4" max="4" width="10" hidden="0" customWidth="1"/>
    <x:col min="5" max="5" width="48" hidden="0" customWidth="1"/>
    <x:col min="6" max="6" width="22" hidden="0" customWidth="1"/>
    <x:col min="7" max="7" width="24" hidden="0" customWidth="1"/>
    <x:col min="8" max="8" width="10" hidden="0" customWidth="1"/>
    <x:col min="9" max="9" width="12" hidden="0" customWidth="1"/>
    <x:col min="10" max="10" width="14" hidden="0" customWidth="1"/>
    <x:col min="11" max="11" width="45" hidden="0" customWidth="1"/>
    <x:col min="12" max="12" width="52" hidden="0" customWidth="1"/>
    <x:col min="13" max="13" width="74" hidden="0" customWidth="1"/>
    <x:col min="14" max="14" width="14" hidden="0" customWidth="1"/>
  </x:cols>
  <x:sheetData>
    <x:row r="1" ht="32" customHeight="1">
      <x:c r="A1" s="7" t="str">
        <x:v>序号</x:v>
      </x:c>
      <x:c r="B1" s="7" t="str">
        <x:v>目录编号</x:v>
      </x:c>
      <x:c r="C1" s="7" t="str">
        <x:v>赛事名称</x:v>
      </x:c>
      <x:c r="D1" s="7" t="str">
        <x:v>目录等级</x:v>
      </x:c>
      <x:c r="E1" s="7" t="str">
        <x:v>届次与范围</x:v>
      </x:c>
      <x:c r="F1" s="7" t="str">
        <x:v>对应关系</x:v>
      </x:c>
      <x:c r="G1" s="7" t="str">
        <x:v>赛事来源状态</x:v>
      </x:c>
      <x:c r="H1" s="7" t="str">
        <x:v>来源数</x:v>
      </x:c>
      <x:c r="I1" s="7" t="str">
        <x:v>学习资料数</x:v>
      </x:c>
      <x:c r="J1" s="7" t="str">
        <x:v>主要入口</x:v>
      </x:c>
      <x:c r="K1" s="7" t="str">
        <x:v>主要来源网址</x:v>
      </x:c>
      <x:c r="L1" s="7" t="str">
        <x:v>赛事简介</x:v>
      </x:c>
      <x:c r="M1" s="7" t="str">
        <x:v>缺项与后续核对</x:v>
      </x:c>
      <x:c r="N1" s="7" t="str">
        <x:v>整理日期</x:v>
      </x:c>
    </x:row>
    <x:row r="2" ht="44" customHeight="1">
      <x:c r="A2" s="3" t="n">
        <x:v>1</x:v>
      </x:c>
      <x:c r="B2" s="3" t="str">
        <x:v>2026001</x:v>
      </x:c>
      <x:c r="C2" s="3" t="str">
        <x:v>中国国际大学生创新大赛（2026）</x:v>
      </x:c>
      <x:c r="D2" s="3" t="str">
        <x:v>A+</x:v>
      </x:c>
      <x:c r="E2" s="3" t="str">
        <x:v>2026届；高校转载通知中的校内日期不作为同济大学报名日期。</x:v>
      </x:c>
      <x:c r="F2" s="3" t="str">
        <x:v>对应来源已有依据</x:v>
      </x:c>
      <x:c r="G2" s="3" t="str">
        <x:v>已读赛事来源页面</x:v>
      </x:c>
      <x:c r="H2" s="3" t="n">
        <x:v>2</x:v>
      </x:c>
      <x:c r="I2" s="3" t="n">
        <x:v>2</x:v>
      </x:c>
      <x:c r="J2" s="8" t="e">
        <x:f>HYPERLINK(K2,"打开来源")</x:f>
        <x:v>HYPERLINK is not implemented. linkLocation=https://www.moe.gov.cn/srcsite/A08/s5672/202607/t20260731_1445670.html, friendlyName=打开来源</x:v>
      </x:c>
      <x:c r="K2" s="3" t="str">
        <x:v>https://www.moe.gov.cn/srcsite/A08/s5672/202607/t20260731_1445670.html</x:v>
      </x:c>
      <x:c r="L2" s="3" t="str">
        <x:v>以创新项目参赛，需按具体赛道准备项目材料，报名使用全国大学生创业服务网。</x:v>
      </x:c>
      <x:c r="M2" s="3" t="str">
        <x:v>教育部通知附件尚未逐一展开；2026最终评审细则仍需补齐。</x:v>
      </x:c>
      <x:c r="N2" s="9" t="n">
        <x:v>46298</x:v>
      </x:c>
    </x:row>
    <x:row r="3" ht="44" customHeight="1">
      <x:c r="A3" s="3" t="n">
        <x:v>2</x:v>
      </x:c>
      <x:c r="B3" s="3" t="str">
        <x:v>2026002</x:v>
      </x:c>
      <x:c r="C3" s="3" t="str">
        <x:v>“挑战杯”中国大学生创业计划竞赛</x:v>
      </x:c>
      <x:c r="D3" s="3" t="str">
        <x:v>A+</x:v>
      </x:c>
      <x:c r="E3" s="3" t="str">
        <x:v>2026年第十五届；旧版网站章程仅作背景，不替代当届规则。</x:v>
      </x:c>
      <x:c r="F3" s="3" t="str">
        <x:v>对应来源已有依据</x:v>
      </x:c>
      <x:c r="G3" s="3" t="str">
        <x:v>已读赛事来源页面</x:v>
      </x:c>
      <x:c r="H3" s="3" t="n">
        <x:v>1</x:v>
      </x:c>
      <x:c r="I3" s="3" t="n">
        <x:v>2</x:v>
      </x:c>
      <x:c r="J3" s="8" t="e">
        <x:f>HYPERLINK(K3,"打开来源")</x:f>
        <x:v>HYPERLINK is not implemented. linkLocation=https://www.tiaozhanbei.net/?ID=2, friendlyName=打开来源</x:v>
      </x:c>
      <x:c r="K3" s="3" t="str">
        <x:v>https://www.tiaozhanbei.net/?ID=2</x:v>
      </x:c>
      <x:c r="L3" s="3" t="str">
        <x:v>围绕创业项目准备商业计划、项目展示及答辩材料。</x:v>
      </x:c>
      <x:c r="M3" s="3" t="str">
        <x:v>尚缺第十五届完整最终规则；模板与公众号笔记尚未全文核读。</x:v>
      </x:c>
      <x:c r="N3" s="9" t="n">
        <x:v>46298</x:v>
      </x:c>
    </x:row>
    <x:row r="4" ht="44" customHeight="1">
      <x:c r="A4" s="3" t="n">
        <x:v>3</x:v>
      </x:c>
      <x:c r="B4" s="3" t="str">
        <x:v>2026003</x:v>
      </x:c>
      <x:c r="C4" s="3" t="str">
        <x:v>中国青年科技创新“揭榜挂帅”擂台赛</x:v>
      </x:c>
      <x:c r="D4" s="3" t="str">
        <x:v>A+</x:v>
      </x:c>
      <x:c r="E4" s="3" t="str">
        <x:v>2026年度；与常规创业计划赛分开。</x:v>
      </x:c>
      <x:c r="F4" s="3" t="str">
        <x:v>对应来源已有依据</x:v>
      </x:c>
      <x:c r="G4" s="3" t="str">
        <x:v>已读赛事来源页面</x:v>
      </x:c>
      <x:c r="H4" s="3" t="n">
        <x:v>1</x:v>
      </x:c>
      <x:c r="I4" s="3" t="n">
        <x:v>2</x:v>
      </x:c>
      <x:c r="J4" s="8" t="e">
        <x:f>HYPERLINK(K4,"打开来源")</x:f>
        <x:v>HYPERLINK is not implemented. linkLocation=https://youth.cau.edu.cn/art/2026/5/15/art_45078_1113491.html, friendlyName=打开来源</x:v>
      </x:c>
      <x:c r="K4" s="3" t="str">
        <x:v>https://youth.cau.edu.cn/art/2026/5/15/art_45078_1113491.html</x:v>
      </x:c>
      <x:c r="L4" s="3" t="str">
        <x:v>根据具体榜题形成技术解决方案，选题时需核对学生赛或青年科技人才赛的身份要求。</x:v>
      </x:c>
      <x:c r="M4" s="3" t="str">
        <x:v>榜题附件包未解包；具体技术课程应在确定榜题后补充。</x:v>
      </x:c>
      <x:c r="N4" s="9" t="n">
        <x:v>46298</x:v>
      </x:c>
    </x:row>
    <x:row r="5" ht="44" customHeight="1">
      <x:c r="A5" s="3" t="n">
        <x:v>4</x:v>
      </x:c>
      <x:c r="B5" s="3" t="str">
        <x:v>2026004</x:v>
      </x:c>
      <x:c r="C5" s="3" t="str">
        <x:v>全国大学生金相技能大赛</x:v>
      </x:c>
      <x:c r="D5" s="3" t="str">
        <x:v>A</x:v>
      </x:c>
      <x:c r="E5" s="3" t="str">
        <x:v>官网已展示2026—2027赛季和第十六届；2026目录名称不等于赛事举办年份。</x:v>
      </x:c>
      <x:c r="F5" s="3" t="str">
        <x:v>来源对应尚待核验</x:v>
      </x:c>
      <x:c r="G5" s="3" t="str">
        <x:v>赛事来源正文待补</x:v>
      </x:c>
      <x:c r="H5" s="3" t="n">
        <x:v>2</x:v>
      </x:c>
      <x:c r="I5" s="3" t="n">
        <x:v>2</x:v>
      </x:c>
      <x:c r="J5" s="8" t="e">
        <x:f>HYPERLINK(K5,"打开来源")</x:f>
        <x:v>HYPERLINK is not implemented. linkLocation=https://www.jxds.tech/dangjie-shiyan-zhinan, friendlyName=打开来源</x:v>
      </x:c>
      <x:c r="K5" s="3" t="str">
        <x:v>https://www.jxds.tech/dangjie-shiyan-zhinan</x:v>
      </x:c>
      <x:c r="L5" s="3" t="str">
        <x:v>包含实验技能、综合分析与创新应用赛道；应分别学习制样操作、组织分析和对应赛道规则。</x:v>
      </x:c>
      <x:c r="M5" s="3" t="str">
        <x:v>官网多次访问超时；制样PDF与当届细则待正文核对。
综合分析指南存在届次文字与年份不一致，暂不提取确定报名截止日。</x:v>
      </x:c>
      <x:c r="N5" s="9" t="n">
        <x:v>46298</x:v>
      </x:c>
    </x:row>
    <x:row r="6" ht="44" customHeight="1">
      <x:c r="A6" s="3" t="n">
        <x:v>5</x:v>
      </x:c>
      <x:c r="B6" s="3" t="str">
        <x:v>2026005</x:v>
      </x:c>
      <x:c r="C6" s="3" t="str">
        <x:v>全国大学生测绘学科创新创业智能大赛</x:v>
      </x:c>
      <x:c r="D6" s="3" t="str">
        <x:v>A</x:v>
      </x:c>
      <x:c r="E6" s="3" t="str">
        <x:v>2026届；已发布一号、二号通知，作为当届资料归档。</x:v>
      </x:c>
      <x:c r="F6" s="3" t="str">
        <x:v>来源对应尚待核验</x:v>
      </x:c>
      <x:c r="G6" s="3" t="str">
        <x:v>赛事来源正文待补</x:v>
      </x:c>
      <x:c r="H6" s="3" t="n">
        <x:v>2</x:v>
      </x:c>
      <x:c r="I6" s="3" t="n">
        <x:v>2</x:v>
      </x:c>
      <x:c r="J6" s="8" t="e">
        <x:f>HYPERLINK(K6,"打开来源")</x:f>
        <x:v>HYPERLINK is not implemented. linkLocation=https://amap.csgpc.org/detail/27080.html, friendlyName=打开来源</x:v>
      </x:c>
      <x:c r="K6" s="3" t="str">
        <x:v>https://amap.csgpc.org/detail/27080.html</x:v>
      </x:c>
      <x:c r="L6" s="3" t="str">
        <x:v>设测绘技能、开发设计、科技论文三个方向；2026技能赛增加虚实协同数字测图团队项目。</x:v>
      </x:c>
      <x:c r="M6" s="3" t="str">
        <x:v>官网直接读取失败，当前为官方索引资料；需补2026附件正文及训练软件获取说明。</x:v>
      </x:c>
      <x:c r="N6" s="9" t="n">
        <x:v>46298</x:v>
      </x:c>
    </x:row>
    <x:row r="7" ht="44" customHeight="1">
      <x:c r="A7" s="3" t="n">
        <x:v>6</x:v>
      </x:c>
      <x:c r="B7" s="3" t="str">
        <x:v>2026006</x:v>
      </x:c>
      <x:c r="C7" s="3" t="str">
        <x:v>iCAN大学生创新创业大赛</x:v>
      </x:c>
      <x:c r="D7" s="3" t="str">
        <x:v>A</x:v>
      </x:c>
      <x:c r="E7" s="3" t="str">
        <x:v>2026第二十届；官网索引与4月高校转载的截止日期、评分表有差异，以主办方最新版本复核。</x:v>
      </x:c>
      <x:c r="F7" s="3" t="str">
        <x:v>对应来源已有依据</x:v>
      </x:c>
      <x:c r="G7" s="3" t="str">
        <x:v>已读赛事来源页面</x:v>
      </x:c>
      <x:c r="H7" s="3" t="n">
        <x:v>2</x:v>
      </x:c>
      <x:c r="I7" s="3" t="n">
        <x:v>2</x:v>
      </x:c>
      <x:c r="J7" s="8" t="e">
        <x:f>HYPERLINK(K7,"打开来源")</x:f>
        <x:v>HYPERLINK is not implemented. linkLocation=https://www.g-ican.com/news/details?id=234, friendlyName=打开来源</x:v>
      </x:c>
      <x:c r="K7" s="3" t="str">
        <x:v>https://www.g-ican.com/news/details?id=234</x:v>
      </x:c>
      <x:c r="L7" s="3" t="str">
        <x:v>有创新、创业及挑战赛道；创新赛道强调可演示的原创产品，并要求匿名材料。</x:v>
      </x:c>
      <x:c r="M7" s="3" t="str">
        <x:v>官网动态正文尚未读出；已发现版本冲突，暂不写入确定的报名截止日期或评分权重。</x:v>
      </x:c>
      <x:c r="N7" s="9" t="n">
        <x:v>46298</x:v>
      </x:c>
    </x:row>
    <x:row r="8" ht="44" customHeight="1">
      <x:c r="A8" s="3" t="n">
        <x:v>7</x:v>
      </x:c>
      <x:c r="B8" s="3" t="str">
        <x:v>2026007</x:v>
      </x:c>
      <x:c r="C8" s="3" t="str">
        <x:v>全国大学生创新年会</x:v>
      </x:c>
      <x:c r="D8" s="3" t="str">
        <x:v>A</x:v>
      </x:c>
      <x:c r="E8" s="3" t="str">
        <x:v>2026第十九届；属于国创计划项目遴选交流，不按普通自由报名比赛处理。</x:v>
      </x:c>
      <x:c r="F8" s="3" t="str">
        <x:v>对应来源已有依据</x:v>
      </x:c>
      <x:c r="G8" s="3" t="str">
        <x:v>已读赛事来源页面</x:v>
      </x:c>
      <x:c r="H8" s="3" t="n">
        <x:v>1</x:v>
      </x:c>
      <x:c r="I8" s="3" t="n">
        <x:v>2</x:v>
      </x:c>
      <x:c r="J8" s="8" t="e">
        <x:f>HYPERLINK(K8,"打开来源")</x:f>
        <x:v>HYPERLINK is not implemented. linkLocation=https://www.gjcxcy.cn/PublicColumn/Notice/ea09170e-3609-4ca3-9b9d-aaa79fc04d68, friendlyName=打开来源</x:v>
      </x:c>
      <x:c r="K8" s="3" t="str">
        <x:v>https://www.gjcxcy.cn/PublicColumn/Notice/ea09170e-3609-4ca3-9b9d-aaa79fc04d68</x:v>
      </x:c>
      <x:c r="L8" s="3" t="str">
        <x:v>围绕国创项目开展论文交流、改革成果展示和创业项目推介。</x:v>
      </x:c>
      <x:c r="M8" s="3" t="str">
        <x:v>同济校内遴选通知需另行补充；作品详情尚未逐项展开。</x:v>
      </x:c>
      <x:c r="N8" s="9" t="n">
        <x:v>46298</x:v>
      </x:c>
    </x:row>
    <x:row r="9" ht="44" customHeight="1">
      <x:c r="A9" s="3" t="n">
        <x:v>8</x:v>
      </x:c>
      <x:c r="B9" s="3" t="str">
        <x:v>2026008</x:v>
      </x:c>
      <x:c r="C9" s="3" t="str">
        <x:v>全国大学生工程实践与创新能力大赛（2026）</x:v>
      </x:c>
      <x:c r="D9" s="3" t="str">
        <x:v>A</x:v>
      </x:c>
      <x:c r="E9" s="3" t="str">
        <x:v>目录带2026字样；目前核实到的是2027第十届备赛文件，不改写成2026全国赛。</x:v>
      </x:c>
      <x:c r="F9" s="3" t="str">
        <x:v>对应来源已有依据</x:v>
      </x:c>
      <x:c r="G9" s="3" t="str">
        <x:v>已读赛事来源页面</x:v>
      </x:c>
      <x:c r="H9" s="3" t="n">
        <x:v>2</x:v>
      </x:c>
      <x:c r="I9" s="3" t="n">
        <x:v>2</x:v>
      </x:c>
      <x:c r="J9" s="8" t="e">
        <x:f>HYPERLINK(K9,"打开来源")</x:f>
        <x:v>HYPERLINK is not implemented. linkLocation=https://gcxl.dlut.edu.cn/new/, friendlyName=打开来源</x:v>
      </x:c>
      <x:c r="K9" s="3" t="str">
        <x:v>https://gcxl.dlut.edu.cn/new/</x:v>
      </x:c>
      <x:c r="L9" s="3" t="str">
        <x:v>以工程实物和仿真任务为主，按工程实践、智能工程和虚拟仿真方向分别备赛。</x:v>
      </x:c>
      <x:c r="M9" s="3" t="str">
        <x:v>尚需核实目录2026条目对应的校赛/省赛届次；不把其他高校校内报名时间用于同济。</x:v>
      </x:c>
      <x:c r="N9" s="9" t="n">
        <x:v>46298</x:v>
      </x:c>
    </x:row>
    <x:row r="10" ht="44" customHeight="1">
      <x:c r="A10" s="3" t="n">
        <x:v>9</x:v>
      </x:c>
      <x:c r="B10" s="3" t="str">
        <x:v>2026009</x:v>
      </x:c>
      <x:c r="C10" s="3" t="str">
        <x:v>中国大学生机械工程创新创意大赛-智能制造赛</x:v>
      </x:c>
      <x:c r="D10" s="3" t="str">
        <x:v>A</x:v>
      </x:c>
      <x:c r="E10" s="3" t="str">
        <x:v>2026第九届；与西门子杯属于不同赛事。</x:v>
      </x:c>
      <x:c r="F10" s="3" t="str">
        <x:v>对应来源已有依据</x:v>
      </x:c>
      <x:c r="G10" s="3" t="str">
        <x:v>已读赛事来源页面</x:v>
      </x:c>
      <x:c r="H10" s="3" t="n">
        <x:v>2</x:v>
      </x:c>
      <x:c r="I10" s="3" t="n">
        <x:v>2</x:v>
      </x:c>
      <x:c r="J10" s="8" t="e">
        <x:f>HYPERLINK(K10,"打开来源")</x:f>
        <x:v>HYPERLINK is not implemented. linkLocation=https://cmee.upc.edu.cn/2026/0329/c21211a486315/page.htm, friendlyName=打开来源</x:v>
      </x:c>
      <x:c r="K10" s="3" t="str">
        <x:v>https://cmee.upc.edu.cn/2026/0329/c21211a486315/page.htm</x:v>
      </x:c>
      <x:c r="L10" s="3" t="str">
        <x:v>面向产线开发、应用、运维与管控等智能制造任务。</x:v>
      </x:c>
      <x:c r="M10" s="3" t="str">
        <x:v>实际赛题包、培训录像和指定设备待补充。MuJoCo仅适用于相关方向，不是全赛项必需工具。</x:v>
      </x:c>
      <x:c r="N10" s="9" t="n">
        <x:v>46298</x:v>
      </x:c>
    </x:row>
    <x:row r="11" ht="44" customHeight="1">
      <x:c r="A11" s="3" t="n">
        <x:v>10</x:v>
      </x:c>
      <x:c r="B11" s="3" t="str">
        <x:v>2026010</x:v>
      </x:c>
      <x:c r="C11" s="3" t="str">
        <x:v>“西门子杯”中国智能制造挑战赛</x:v>
      </x:c>
      <x:c r="D11" s="3" t="str">
        <x:v>A</x:v>
      </x:c>
      <x:c r="E11" s="3" t="str">
        <x:v>2026第二十届；官网已有总决赛成绩与证书通知。</x:v>
      </x:c>
      <x:c r="F11" s="3" t="str">
        <x:v>对应来源已有依据</x:v>
      </x:c>
      <x:c r="G11" s="3" t="str">
        <x:v>已读赛事来源页面</x:v>
      </x:c>
      <x:c r="H11" s="3" t="n">
        <x:v>2</x:v>
      </x:c>
      <x:c r="I11" s="3" t="n">
        <x:v>2</x:v>
      </x:c>
      <x:c r="J11" s="8" t="e">
        <x:f>HYPERLINK(K11,"打开来源")</x:f>
        <x:v>HYPERLINK is not implemented. linkLocation=https://www.siemenscup-cimc.org.cn/notice/NoticeDetail?id=2431, friendlyName=打开来源</x:v>
      </x:c>
      <x:c r="K11" s="3" t="str">
        <x:v>https://www.siemenscup-cimc.org.cn/notice/NoticeDetail?id=2431</x:v>
      </x:c>
      <x:c r="L11" s="3" t="str">
        <x:v>按工业自动化、网络化、数字孪生及创新研发等具体赛项参加。</x:v>
      </x:c>
      <x:c r="M11" s="3" t="str">
        <x:v>已确认赛题入口，尚未逐份读完各方向资料；学习备赛页面未读取到有效课程正文。</x:v>
      </x:c>
      <x:c r="N11" s="9" t="n">
        <x:v>46298</x:v>
      </x:c>
    </x:row>
    <x:row r="12" ht="50" customHeight="1">
      <x:c r="A12" s="3" t="n">
        <x:v>11</x:v>
      </x:c>
      <x:c r="B12" s="3" t="str">
        <x:v>2026011</x:v>
      </x:c>
      <x:c r="C12" s="3" t="str">
        <x:v>VEX机器人全国精英赛</x:v>
      </x:c>
      <x:c r="D12" s="3" t="str">
        <x:v>A</x:v>
      </x:c>
      <x:c r="E12" s="3" t="str">
        <x:v>已定位2025—2026赛季VURC大学组；2026—2027规则另存为下赛季学习资料。</x:v>
      </x:c>
      <x:c r="F12" s="3" t="str">
        <x:v>来源对应尚待核验</x:v>
      </x:c>
      <x:c r="G12" s="3" t="str">
        <x:v>赛事来源正文待补</x:v>
      </x:c>
      <x:c r="H12" s="3" t="n">
        <x:v>1</x:v>
      </x:c>
      <x:c r="I12" s="3" t="n">
        <x:v>2</x:v>
      </x:c>
      <x:c r="J12" s="8" t="e">
        <x:f>HYPERLINK(K12,"打开来源")</x:f>
        <x:v>HYPERLINK is not implemented. linkLocation=https://www.robotevents.com/lv/robot-competitions/college-competition/RE-VURC-25-0840.html, friendlyName=打开来源</x:v>
      </x:c>
      <x:c r="K12" s="3" t="str">
        <x:v>https://www.robotevents.com/lv/robot-competitions/college-competition/RE-VURC-25-0840.html</x:v>
      </x:c>
      <x:c r="L12" s="3" t="str">
        <x:v>大学队应对应VURC赛事，不使用V5RC高中组或VIQRC中小学组的资格和报名日期。</x:v>
      </x:c>
      <x:c r="M12" s="3" t="str">
        <x:v>当前全国大学组新届比赛通知待补；需从官方赛事平台重新确认可用中文报名入口。</x:v>
      </x:c>
      <x:c r="N12" s="9" t="n">
        <x:v>46298</x:v>
      </x:c>
    </x:row>
    <x:row r="13" ht="44" customHeight="1">
      <x:c r="A13" s="3" t="n">
        <x:v>12</x:v>
      </x:c>
      <x:c r="B13" s="3" t="str">
        <x:v>2026012</x:v>
      </x:c>
      <x:c r="C13" s="3" t="str">
        <x:v>大学生新一代信息通信科技大赛</x:v>
      </x:c>
      <x:c r="D13" s="3" t="str">
        <x:v>A</x:v>
      </x:c>
      <x:c r="E13" s="3" t="str">
        <x:v>2026第十三届，简称信科赛，原大唐杯；旧官网公告指向ksup.cn。</x:v>
      </x:c>
      <x:c r="F13" s="3" t="str">
        <x:v>对应来源已有依据</x:v>
      </x:c>
      <x:c r="G13" s="3" t="str">
        <x:v>已读赛事来源页面</x:v>
      </x:c>
      <x:c r="H13" s="3" t="n">
        <x:v>2</x:v>
      </x:c>
      <x:c r="I13" s="3" t="n">
        <x:v>2</x:v>
      </x:c>
      <x:c r="J13" s="8" t="e">
        <x:f>HYPERLINK(K13,"打开来源")</x:f>
        <x:v>HYPERLINK is not implemented. linkLocation=https://dtcup.dtxiaotangren.com/, friendlyName=打开来源</x:v>
      </x:c>
      <x:c r="K13" s="3" t="str">
        <x:v>https://dtcup.dtxiaotangren.com/</x:v>
      </x:c>
      <x:c r="L13" s="3" t="str">
        <x:v>按通信相关赛道组队，官方学习平台账号由报名流程开通。</x:v>
      </x:c>
      <x:c r="M13" s="3" t="str">
        <x:v>培训正文需参赛账号；未取得可公开再分发的完整题库。</x:v>
      </x:c>
      <x:c r="N13" s="9" t="n">
        <x:v>46298</x:v>
      </x:c>
    </x:row>
    <x:row r="14" ht="44" customHeight="1">
      <x:c r="A14" s="3" t="n">
        <x:v>13</x:v>
      </x:c>
      <x:c r="B14" s="3" t="str">
        <x:v>2026013</x:v>
      </x:c>
      <x:c r="C14" s="3" t="str">
        <x:v>国际大学生智能农业装备创新大赛</x:v>
      </x:c>
      <x:c r="D14" s="3" t="str">
        <x:v>A</x:v>
      </x:c>
      <x:c r="E14" s="3" t="str">
        <x:v>第十一届于2026举行；2026年9月发布的是第十二届、决赛预计2027年。</x:v>
      </x:c>
      <x:c r="F14" s="3" t="str">
        <x:v>来源对应尚待核验</x:v>
      </x:c>
      <x:c r="G14" s="3" t="str">
        <x:v>赛事来源正文待补</x:v>
      </x:c>
      <x:c r="H14" s="3" t="n">
        <x:v>2</x:v>
      </x:c>
      <x:c r="I14" s="3" t="n">
        <x:v>2</x:v>
      </x:c>
      <x:c r="J14" s="8" t="e">
        <x:f>HYPERLINK(K14,"打开来源")</x:f>
        <x:v>HYPERLINK is not implemented. linkLocation=https://uiaec.ujs.edu.cn/news_show.php?id=234, friendlyName=打开来源</x:v>
      </x:c>
      <x:c r="K14" s="3" t="str">
        <x:v>https://uiaec.ujs.edu.cn/news_show.php?id=234</x:v>
      </x:c>
      <x:c r="L14" s="3" t="str">
        <x:v>作品分创意、竞技、行业与概念等类别，需要分别准备样机、技术报告或概念展示。</x:v>
      </x:c>
      <x:c r="M14" s="3" t="str">
        <x:v>官方页面访问受限，附件正文待获取；第十二届主题与评分细则不能从第十一届直接继承。</x:v>
      </x:c>
      <x:c r="N14" s="9" t="n">
        <x:v>46298</x:v>
      </x:c>
    </x:row>
    <x:row r="15" ht="44" customHeight="1">
      <x:c r="A15" s="3" t="n">
        <x:v>14</x:v>
      </x:c>
      <x:c r="B15" s="3" t="str">
        <x:v>2026014</x:v>
      </x:c>
      <x:c r="C15" s="3" t="str">
        <x:v>华为ICT大赛</x:v>
      </x:c>
      <x:c r="D15" s="3" t="str">
        <x:v>A</x:v>
      </x:c>
      <x:c r="E15" s="3" t="str">
        <x:v>已核实2025—2026第十届；学习空间可能切换到第十一届，使用前核对届次。</x:v>
      </x:c>
      <x:c r="F15" s="3" t="str">
        <x:v>对应来源已有依据</x:v>
      </x:c>
      <x:c r="G15" s="3" t="str">
        <x:v>已读赛事来源页面</x:v>
      </x:c>
      <x:c r="H15" s="3" t="n">
        <x:v>2</x:v>
      </x:c>
      <x:c r="I15" s="3" t="n">
        <x:v>2</x:v>
      </x:c>
      <x:c r="J15" s="8" t="e">
        <x:f>HYPERLINK(K15,"打开来源")</x:f>
        <x:v>HYPERLINK is not implemented. linkLocation=https://www.huawei.com/minisite/ict-competition-2025-2026-global/cn/, friendlyName=打开来源</x:v>
      </x:c>
      <x:c r="K15" s="3" t="str">
        <x:v>https://www.huawei.com/minisite/ict-competition-2025-2026-global/cn/</x:v>
      </x:c>
      <x:c r="L15" s="3" t="str">
        <x:v>实践、创新、编程等方向有不同考核和作品要求，应先确定赛道。</x:v>
      </x:c>
      <x:c r="M15" s="3" t="str">
        <x:v>尚需补当届具体赛道考纲；学习空间可能更新内容，不能默认与第十届手册一致。</x:v>
      </x:c>
      <x:c r="N15" s="9" t="n">
        <x:v>46298</x:v>
      </x:c>
    </x:row>
    <x:row r="16" ht="44" customHeight="1">
      <x:c r="A16" s="3" t="n">
        <x:v>15</x:v>
      </x:c>
      <x:c r="B16" s="3" t="str">
        <x:v>2026015</x:v>
      </x:c>
      <x:c r="C16" s="3" t="str">
        <x:v>全国大学生电子设计竞赛</x:v>
      </x:c>
      <x:c r="D16" s="3" t="str">
        <x:v>A</x:v>
      </x:c>
      <x:c r="E16" s="3" t="str">
        <x:v>2026按赛区赛、模拟电子系统等专题赛分别归档，不混作2025全国赛。</x:v>
      </x:c>
      <x:c r="F16" s="3" t="str">
        <x:v>来源对应尚待核验</x:v>
      </x:c>
      <x:c r="G16" s="3" t="str">
        <x:v>赛事来源正文待补</x:v>
      </x:c>
      <x:c r="H16" s="3" t="n">
        <x:v>2</x:v>
      </x:c>
      <x:c r="I16" s="3" t="n">
        <x:v>2</x:v>
      </x:c>
      <x:c r="J16" s="8" t="e">
        <x:f>HYPERLINK(K16,"打开来源")</x:f>
        <x:v>HYPERLINK is not implemented. linkLocation=https://res.nuedc-training.com.cn/s/pdf/2025/12/04/file202512048402.pdf, friendlyName=打开来源</x:v>
      </x:c>
      <x:c r="K16" s="3" t="str">
        <x:v>https://res.nuedc-training.com.cn/s/pdf/2025/12/04/file202512048402.pdf</x:v>
      </x:c>
      <x:c r="L16" s="3" t="str">
        <x:v>围绕电路、嵌入式控制、信号处理等任务完成系统设计与测试。</x:v>
      </x:c>
      <x:c r="M16" s="3" t="str">
        <x:v>培训网及PDF直接读取暂失败；尚未逐题保存正文，课程播放与附件权限需复核。</x:v>
      </x:c>
      <x:c r="N16" s="9" t="n">
        <x:v>46298</x:v>
      </x:c>
    </x:row>
    <x:row r="17" ht="44" customHeight="1">
      <x:c r="A17" s="3" t="n">
        <x:v>16</x:v>
      </x:c>
      <x:c r="B17" s="3" t="str">
        <x:v>2026016</x:v>
      </x:c>
      <x:c r="C17" s="3" t="str">
        <x:v>全国大学生集成电路创新创业大赛</x:v>
      </x:c>
      <x:c r="D17" s="3" t="str">
        <x:v>A</x:v>
      </x:c>
      <x:c r="E17" s="3" t="str">
        <x:v>2026第十届；高校组与职业技能赛项的赛程、资格分别处理。</x:v>
      </x:c>
      <x:c r="F17" s="3" t="str">
        <x:v>来源对应尚待核验</x:v>
      </x:c>
      <x:c r="G17" s="3" t="str">
        <x:v>赛事来源正文待补</x:v>
      </x:c>
      <x:c r="H17" s="3" t="n">
        <x:v>1</x:v>
      </x:c>
      <x:c r="I17" s="3" t="n">
        <x:v>2</x:v>
      </x:c>
      <x:c r="J17" s="8" t="e">
        <x:f>HYPERLINK(K17,"打开来源")</x:f>
        <x:v>HYPERLINK is not implemented. linkLocation=https://univ.ciciec.com/nr.jsp?_np=0_407_1&amp;m31pageno=2, friendlyName=打开来源</x:v>
      </x:c>
      <x:c r="K17" s="3" t="str">
        <x:v>https://univ.ciciec.com/nr.jsp?_np=0_407_1&amp;m31pageno=2</x:v>
      </x:c>
      <x:c r="L17" s="3" t="str">
        <x:v>根据企业命题或成果方向开发芯片设计、测试或相关应用方案。</x:v>
      </x:c>
      <x:c r="M17" s="3" t="str">
        <x:v>企业软件许可、数据与培训群内容依命题开放，未作为公开可下载内容收录。</x:v>
      </x:c>
      <x:c r="N17" s="9" t="n">
        <x:v>46298</x:v>
      </x:c>
    </x:row>
    <x:row r="18" ht="44" customHeight="1">
      <x:c r="A18" s="3" t="n">
        <x:v>17</x:v>
      </x:c>
      <x:c r="B18" s="3" t="str">
        <x:v>2026017</x:v>
      </x:c>
      <x:c r="C18" s="3" t="str">
        <x:v>全国大学生嵌入式芯片与系统设计竞赛</x:v>
      </x:c>
      <x:c r="D18" s="3" t="str">
        <x:v>A</x:v>
      </x:c>
      <x:c r="E18" s="3" t="str">
        <x:v>2026第九届应用赛道；首页流程仍混有2025文字，以具体2026通知为准。</x:v>
      </x:c>
      <x:c r="F18" s="3" t="str">
        <x:v>对应来源已有依据</x:v>
      </x:c>
      <x:c r="G18" s="3" t="str">
        <x:v>已读赛事来源页面</x:v>
      </x:c>
      <x:c r="H18" s="3" t="n">
        <x:v>1</x:v>
      </x:c>
      <x:c r="I18" s="3" t="n">
        <x:v>2</x:v>
      </x:c>
      <x:c r="J18" s="8" t="e">
        <x:f>HYPERLINK(K18,"打开来源")</x:f>
        <x:v>HYPERLINK is not implemented. linkLocation=https://www.socchina.net/details?id=9e287fdec96946ecb378ebe4297db8bb&amp;value=2, friendlyName=打开来源</x:v>
      </x:c>
      <x:c r="K18" s="3" t="str">
        <x:v>https://www.socchina.net/details?id=9e287fdec96946ecb378ebe4297db8bb&amp;value=2</x:v>
      </x:c>
      <x:c r="L18" s="3" t="str">
        <x:v>使用嵌入式芯片与开发平台完成系统作品，准备报告和演示视频。</x:v>
      </x:c>
      <x:c r="M18" s="3" t="str">
        <x:v>尚需选定具体赛道及命题企业后补板卡手册和示例代码；模板附件直连失败。</x:v>
      </x:c>
      <x:c r="N18" s="9" t="n">
        <x:v>46298</x:v>
      </x:c>
    </x:row>
    <x:row r="19" ht="44" customHeight="1">
      <x:c r="A19" s="3" t="n">
        <x:v>18</x:v>
      </x:c>
      <x:c r="B19" s="3" t="str">
        <x:v>2026018</x:v>
      </x:c>
      <x:c r="C19" s="3" t="str">
        <x:v>全国大学生物联网设计竞赛</x:v>
      </x:c>
      <x:c r="D19" s="3" t="str">
        <x:v>A</x:v>
      </x:c>
      <x:c r="E19" s="3" t="str">
        <x:v>2026届；官网旧文章标题会统一显示2026，已根据正文和附件路径排除2020/2021旧题。</x:v>
      </x:c>
      <x:c r="F19" s="3" t="str">
        <x:v>来源对应尚待核验</x:v>
      </x:c>
      <x:c r="G19" s="3" t="str">
        <x:v>赛事来源正文待补</x:v>
      </x:c>
      <x:c r="H19" s="3" t="n">
        <x:v>1</x:v>
      </x:c>
      <x:c r="I19" s="3" t="n">
        <x:v>2</x:v>
      </x:c>
      <x:c r="J19" s="8" t="e">
        <x:f>HYPERLINK(K19,"打开来源")</x:f>
        <x:v>HYPERLINK is not implemented. linkLocation=https://iot.sjtu.edu.cn/ueditor/net/upload/file/20260326/6391013243710844328303068.pdf, friendlyName=打开来源</x:v>
      </x:c>
      <x:c r="K19" s="3" t="str">
        <x:v>https://iot.sjtu.edu.cn/ueditor/net/upload/file/20260326/6391013243710844328303068.pdf</x:v>
      </x:c>
      <x:c r="L19" s="3" t="str">
        <x:v>按企业技术平台或自拟选题设计物联网作品，并提交作品说明。</x:v>
      </x:c>
      <x:c r="M19" s="3" t="str">
        <x:v>官方站点403导致2026章程及命题未完整展开；不采纳只有2026网页标题、正文却是往届的页面。</x:v>
      </x:c>
      <x:c r="N19" s="9" t="n">
        <x:v>46298</x:v>
      </x:c>
    </x:row>
    <x:row r="20" ht="44" customHeight="1">
      <x:c r="A20" s="3" t="n">
        <x:v>19</x:v>
      </x:c>
      <x:c r="B20" s="3" t="str">
        <x:v>2026019</x:v>
      </x:c>
      <x:c r="C20" s="3" t="str">
        <x:v>全国大学生智能汽车竞赛</x:v>
      </x:c>
      <x:c r="D20" s="3" t="str">
        <x:v>A</x:v>
      </x:c>
      <x:c r="E20" s="3" t="str">
        <x:v>2026第二十一届；竞速与室外赛分开，室外规则检索到的是初稿。</x:v>
      </x:c>
      <x:c r="F20" s="3" t="str">
        <x:v>对应来源已有依据</x:v>
      </x:c>
      <x:c r="G20" s="3" t="str">
        <x:v>已读赛事来源页面</x:v>
      </x:c>
      <x:c r="H20" s="3" t="n">
        <x:v>1</x:v>
      </x:c>
      <x:c r="I20" s="3" t="n">
        <x:v>2</x:v>
      </x:c>
      <x:c r="J20" s="8" t="e">
        <x:f>HYPERLINK(K20,"打开来源")</x:f>
        <x:v>HYPERLINK is not implemented. linkLocation=https://www.sues.edu.cn/85/1b/c26790a296219/page.htm, friendlyName=打开来源</x:v>
      </x:c>
      <x:c r="K20" s="3" t="str">
        <x:v>https://www.sues.edu.cn/85/1b/c26790a296219/page.htm</x:v>
      </x:c>
      <x:c r="L20" s="3" t="str">
        <x:v>围绕车模控制、感知和规定任务进行工程设计与调试。</x:v>
      </x:c>
      <x:c r="M20" s="3" t="str">
        <x:v>尚缺室外赛最终规则及具体组别训练资料；不能用初稿计算报名或计分结论。</x:v>
      </x:c>
      <x:c r="N20" s="9" t="n">
        <x:v>46298</x:v>
      </x:c>
    </x:row>
    <x:row r="21" ht="44" customHeight="1">
      <x:c r="A21" s="3" t="n">
        <x:v>20</x:v>
      </x:c>
      <x:c r="B21" s="3" t="str">
        <x:v>2026020</x:v>
      </x:c>
      <x:c r="C21" s="3" t="str">
        <x:v>全球校园人工智能算法精英大赛</x:v>
      </x:c>
      <x:c r="D21" s="3" t="str">
        <x:v>A</x:v>
      </x:c>
      <x:c r="E21" s="3" t="str">
        <x:v>2026第八届；重点保留AI+开源和AI+软件创新两个相关赛题，规则分开。</x:v>
      </x:c>
      <x:c r="F21" s="3" t="str">
        <x:v>对应来源已有依据</x:v>
      </x:c>
      <x:c r="G21" s="3" t="str">
        <x:v>已读赛事来源页面</x:v>
      </x:c>
      <x:c r="H21" s="3" t="n">
        <x:v>2</x:v>
      </x:c>
      <x:c r="I21" s="3" t="n">
        <x:v>3</x:v>
      </x:c>
      <x:c r="J21" s="8" t="e">
        <x:f>HYPERLINK(K21,"打开来源")</x:f>
        <x:v>HYPERLINK is not implemented. linkLocation=https://www.aicomp.cn/tracks/tracks-5/4924.html, friendlyName=打开来源</x:v>
      </x:c>
      <x:c r="K21" s="3" t="str">
        <x:v>https://www.aicomp.cn/tracks/tracks-5/4924.html</x:v>
      </x:c>
      <x:c r="L21" s="3" t="str">
        <x:v>基于AI技术制作可运行作品或算法成果，需用演示、报告和测试说明自主贡献。</x:v>
      </x:c>
      <x:c r="M21" s="3" t="str">
        <x:v>这里仅深入整理两个与平台项目相关的赛题，其他赛题须从官方赛题目录再选择。</x:v>
      </x:c>
      <x:c r="N21" s="9" t="n">
        <x:v>46298</x:v>
      </x:c>
    </x:row>
    <x:row r="22" ht="50" customHeight="1">
      <x:c r="A22" s="3" t="n">
        <x:v>21</x:v>
      </x:c>
      <x:c r="B22" s="3" t="str">
        <x:v>2026021</x:v>
      </x:c>
      <x:c r="C22" s="3" t="str">
        <x:v>睿抗机器人开发者大赛（RAICOM）</x:v>
      </x:c>
      <x:c r="D22" s="3" t="str">
        <x:v>A</x:v>
      </x:c>
      <x:c r="E22" s="3" t="str">
        <x:v>2026届；官网仍保留大量2025赛道页面，已分开记录。</x:v>
      </x:c>
      <x:c r="F22" s="3" t="str">
        <x:v>对应来源已有依据</x:v>
      </x:c>
      <x:c r="G22" s="3" t="str">
        <x:v>已读赛事来源页面</x:v>
      </x:c>
      <x:c r="H22" s="3" t="n">
        <x:v>2</x:v>
      </x:c>
      <x:c r="I22" s="3" t="n">
        <x:v>2</x:v>
      </x:c>
      <x:c r="J22" s="8" t="e">
        <x:f>HYPERLINK(K22,"打开来源")</x:f>
        <x:v>HYPERLINK is not implemented. linkLocation=https://jwc.ustb.edu.cn/tztg/7a4552245dcb452b987023876778037b.htm, friendlyName=打开来源</x:v>
      </x:c>
      <x:c r="K22" s="3" t="str">
        <x:v>https://jwc.ustb.edu.cn/tztg/7a4552245dcb452b987023876778037b.htm</x:v>
      </x:c>
      <x:c r="L22" s="3" t="str">
        <x:v>有工程创客、设计、算法及机器人竞技等方向，应按具体赛项选择硬件和算法。</x:v>
      </x:c>
      <x:c r="M22" s="3" t="str">
        <x:v>完整赛题附件和各赛项账号资源待补齐。大模型赛项依据：https://jiaowu.web.hebust.edu.cn/cxcy/xkjs/2fab3cfa48a844829a32c207706d6cce.htm（官方高校索引，直读超时）。</x:v>
      </x:c>
      <x:c r="N22" s="9" t="n">
        <x:v>46298</x:v>
      </x:c>
    </x:row>
    <x:row r="23" ht="44" customHeight="1">
      <x:c r="A23" s="3" t="n">
        <x:v>22</x:v>
      </x:c>
      <x:c r="B23" s="3" t="str">
        <x:v>2026022</x:v>
      </x:c>
      <x:c r="C23" s="3" t="str">
        <x:v>中国高校智能机器人创意大赛</x:v>
      </x:c>
      <x:c r="D23" s="3" t="str">
        <x:v>A</x:v>
      </x:c>
      <x:c r="E23" s="3" t="str">
        <x:v>2026第九届；官网有延期通知，早期全国赛日期不作为最终赛程。</x:v>
      </x:c>
      <x:c r="F23" s="3" t="str">
        <x:v>对应来源已有依据</x:v>
      </x:c>
      <x:c r="G23" s="3" t="str">
        <x:v>已读赛事来源页面</x:v>
      </x:c>
      <x:c r="H23" s="3" t="n">
        <x:v>2</x:v>
      </x:c>
      <x:c r="I23" s="3" t="n">
        <x:v>2</x:v>
      </x:c>
      <x:c r="J23" s="8" t="e">
        <x:f>HYPERLINK(K23,"打开来源")</x:f>
        <x:v>HYPERLINK is not implemented. linkLocation=https://kzgc.neuq.edu.cn/info/1081/5715.htm, friendlyName=打开来源</x:v>
      </x:c>
      <x:c r="K23" s="3" t="str">
        <x:v>https://kzgc.neuq.edu.cn/info/1081/5715.htm</x:v>
      </x:c>
      <x:c r="L23" s="3" t="str">
        <x:v>主题赛包含家用智能机器人创意等内容，专项及产教融合赛另有要求。</x:v>
      </x:c>
      <x:c r="M23" s="3" t="str">
        <x:v>主题二、主题三及专项赛的完整规则待补；早期高校通知存在年份笔误，未提取为报名日期。</x:v>
      </x:c>
      <x:c r="N23" s="9" t="n">
        <x:v>46298</x:v>
      </x:c>
    </x:row>
    <x:row r="24" ht="44" customHeight="1">
      <x:c r="A24" s="3" t="n">
        <x:v>23</x:v>
      </x:c>
      <x:c r="B24" s="3" t="str">
        <x:v>2026023</x:v>
      </x:c>
      <x:c r="C24" s="3" t="str">
        <x:v>中国机器人大赛暨RoboCup机器人世界杯中国赛</x:v>
      </x:c>
      <x:c r="D24" s="3" t="str">
        <x:v>A</x:v>
      </x:c>
      <x:c r="E24" s="3" t="str">
        <x:v>2026年；中国机器人大赛赛区与RoboCup赛区各自发布规则，不混用赛程。</x:v>
      </x:c>
      <x:c r="F24" s="3" t="str">
        <x:v>对应来源已有依据</x:v>
      </x:c>
      <x:c r="G24" s="3" t="str">
        <x:v>已读赛事来源页面</x:v>
      </x:c>
      <x:c r="H24" s="3" t="n">
        <x:v>1</x:v>
      </x:c>
      <x:c r="I24" s="3" t="n">
        <x:v>2</x:v>
      </x:c>
      <x:c r="J24" s="8" t="e">
        <x:f>HYPERLINK(K24,"打开来源")</x:f>
        <x:v>HYPERLINK is not implemented. linkLocation=https://rcccaa.drct-caa.org.cn/, friendlyName=打开来源</x:v>
      </x:c>
      <x:c r="K24" s="3" t="str">
        <x:v>https://rcccaa.drct-caa.org.cn/</x:v>
      </x:c>
      <x:c r="L24" s="3" t="str">
        <x:v>涵盖足球、救援、服务及其他机器人任务，各赛项分别规定平台与测试要求。</x:v>
      </x:c>
      <x:c r="M24" s="3" t="str">
        <x:v>已核验规则索引，未逐份阅读全文；尚未筛选与具体参赛赛项对应的技术教程。</x:v>
      </x:c>
      <x:c r="N24" s="9" t="n">
        <x:v>46298</x:v>
      </x:c>
    </x:row>
    <x:row r="25" ht="44" customHeight="1">
      <x:c r="A25" s="3" t="n">
        <x:v>24</x:v>
      </x:c>
      <x:c r="B25" s="3" t="str">
        <x:v>2026024</x:v>
      </x:c>
      <x:c r="C25" s="3" t="str">
        <x:v>中国机器人及人工智能大赛</x:v>
      </x:c>
      <x:c r="D25" s="3" t="str">
        <x:v>A</x:v>
      </x:c>
      <x:c r="E25" s="3" t="str">
        <x:v>2026第二十八届；公开站的规则通过网盘分发。</x:v>
      </x:c>
      <x:c r="F25" s="3" t="str">
        <x:v>对应来源已有依据</x:v>
      </x:c>
      <x:c r="G25" s="3" t="str">
        <x:v>已读赛事来源页面</x:v>
      </x:c>
      <x:c r="H25" s="3" t="n">
        <x:v>1</x:v>
      </x:c>
      <x:c r="I25" s="3" t="n">
        <x:v>1</x:v>
      </x:c>
      <x:c r="J25" s="8" t="e">
        <x:f>HYPERLINK(K25,"打开来源")</x:f>
        <x:v>HYPERLINK is not implemented. linkLocation=https://www.caairobot.com/post/notification-shengjicengcixuanbasai-craic2026/, friendlyName=打开来源</x:v>
      </x:c>
      <x:c r="K25" s="3" t="str">
        <x:v>https://www.caairobot.com/post/notification-shengjicengcixuanbasai-craic2026/</x:v>
      </x:c>
      <x:c r="L25" s="3" t="str">
        <x:v>大赛分省级选拔与全国决赛，并有不同机器人和人工智能赛项。</x:v>
      </x:c>
      <x:c r="M25" s="3" t="str">
        <x:v>规则包下载与访问权限尚未验证，不能将发布页当作已读规则全文。
未找到本次可核验的第二份具体官方学习资料；后续按所选赛项补培训材料。</x:v>
      </x:c>
      <x:c r="N25" s="9" t="n">
        <x:v>46298</x:v>
      </x:c>
    </x:row>
    <x:row r="26" ht="44" customHeight="1">
      <x:c r="A26" s="3" t="n">
        <x:v>25</x:v>
      </x:c>
      <x:c r="B26" s="3" t="str">
        <x:v>2026025</x:v>
      </x:c>
      <x:c r="C26" s="3" t="str">
        <x:v>SAMPE 2026 Student Bridge Contest</x:v>
      </x:c>
      <x:c r="D26" s="3" t="str">
        <x:v>A</x:v>
      </x:c>
      <x:c r="E26" s="3" t="str">
        <x:v>保留2026 Student Bridge规则；网站其他导航已出现2027，不据此改变2026资料届次。</x:v>
      </x:c>
      <x:c r="F26" s="3" t="str">
        <x:v>对应来源已有依据</x:v>
      </x:c>
      <x:c r="G26" s="3" t="str">
        <x:v>已读赛事来源页面</x:v>
      </x:c>
      <x:c r="H26" s="3" t="n">
        <x:v>1</x:v>
      </x:c>
      <x:c r="I26" s="3" t="n">
        <x:v>3</x:v>
      </x:c>
      <x:c r="J26" s="8" t="e">
        <x:f>HYPERLINK(K26,"打开来源")</x:f>
        <x:v>HYPERLINK is not implemented. linkLocation=https://www.sampeamerica.org/student-bridge-competition, friendlyName=打开来源</x:v>
      </x:c>
      <x:c r="K26" s="3" t="str">
        <x:v>https://www.sampeamerica.org/student-bridge-competition</x:v>
      </x:c>
      <x:c r="L26" s="3" t="str">
        <x:v>参赛学生设计、制造和测试复合材料桥梁，并展示设计与制造过程。</x:v>
      </x:c>
      <x:c r="M26" s="3" t="str">
        <x:v>2026规则PDF未成功读取；已保留官网规则入口。
UW海报已核验公开索引，未逐份评估技术质量。</x:v>
      </x:c>
      <x:c r="N26" s="9" t="n">
        <x:v>46298</x:v>
      </x:c>
    </x:row>
    <x:row r="27" ht="50" customHeight="1">
      <x:c r="A27" s="3" t="n">
        <x:v>26</x:v>
      </x:c>
      <x:c r="B27" s="3" t="str">
        <x:v>2026026</x:v>
      </x:c>
      <x:c r="C27" s="3" t="str">
        <x:v>第十八届SAMPE国际超轻复合材料桥梁/机翼学生竞赛</x:v>
      </x:c>
      <x:c r="D27" s="3" t="str">
        <x:v>A</x:v>
      </x:c>
      <x:c r="E27" s="3" t="str">
        <x:v>2026第十八届已举办；本次可读桥梁规则为2025第十七届，仅作学习参考。</x:v>
      </x:c>
      <x:c r="F27" s="3" t="str">
        <x:v>对应来源已有依据</x:v>
      </x:c>
      <x:c r="G27" s="3" t="str">
        <x:v>已读赛事来源页面</x:v>
      </x:c>
      <x:c r="H27" s="3" t="n">
        <x:v>1</x:v>
      </x:c>
      <x:c r="I27" s="3" t="n">
        <x:v>1</x:v>
      </x:c>
      <x:c r="J27" s="8" t="e">
        <x:f>HYPERLINK(K27,"打开来源")</x:f>
        <x:v>HYPERLINK is not implemented. linkLocation=https://www.tiangong.edu.cn/2026/0617/c634a115872/pagem.htm, friendlyName=打开来源</x:v>
      </x:c>
      <x:c r="K27" s="3" t="str">
        <x:v>https://www.tiangong.edu.cn/2026/0617/c634a115872/pagem.htm</x:v>
      </x:c>
      <x:c r="L27" s="3" t="str">
        <x:v>赛事围绕复合材料机翼与桥梁的设计、成型制作及性能测试，另评技术展示。</x:v>
      </x:c>
      <x:c r="M27" s="3" t="str">
        <x:v>官网关于竞赛页当前可检索版本仍是2025；2026第十八届完整规则及机翼图纸未取得。
尚未核验第二份独立且具体的学习材料；不以获奖新闻充作技术案例。</x:v>
      </x:c>
      <x:c r="N27" s="9" t="n">
        <x:v>46298</x:v>
      </x:c>
    </x:row>
    <x:row r="28" ht="44" customHeight="1">
      <x:c r="A28" s="3" t="n">
        <x:v>27</x:v>
      </x:c>
      <x:c r="B28" s="3" t="str">
        <x:v>2026027</x:v>
      </x:c>
      <x:c r="C28" s="3" t="str">
        <x:v>全国大学生化工设计竞赛</x:v>
      </x:c>
      <x:c r="D28" s="3" t="str">
        <x:v>A</x:v>
      </x:c>
      <x:c r="E28" s="3" t="str">
        <x:v>2026第二十届；任务书及评分细则为2026版。</x:v>
      </x:c>
      <x:c r="F28" s="3" t="str">
        <x:v>对应来源已有依据</x:v>
      </x:c>
      <x:c r="G28" s="3" t="str">
        <x:v>已读赛事来源页面</x:v>
      </x:c>
      <x:c r="H28" s="3" t="n">
        <x:v>1</x:v>
      </x:c>
      <x:c r="I28" s="3" t="n">
        <x:v>4</x:v>
      </x:c>
      <x:c r="J28" s="8" t="e">
        <x:f>HYPERLINK(K28,"打开来源")</x:f>
        <x:v>HYPERLINK is not implemented. linkLocation=https://iche.zju.edu.cn/, friendlyName=打开来源</x:v>
      </x:c>
      <x:c r="K28" s="3" t="str">
        <x:v>https://iche.zju.edu.cn/</x:v>
      </x:c>
      <x:c r="L28" s="3" t="str">
        <x:v>竞赛要求完成化工工程设计，官方提供任务书和图纸、设计文档等评价要求。</x:v>
      </x:c>
      <x:c r="M28" s="3" t="str">
        <x:v>任务书与评分细则已确认官方发布入口，未将附件全文导入。
课程仅登记简介与链接，选课范围及学习权限以平台为准。</x:v>
      </x:c>
      <x:c r="N28" s="9" t="n">
        <x:v>46298</x:v>
      </x:c>
    </x:row>
    <x:row r="29" ht="50" customHeight="1">
      <x:c r="A29" s="3" t="n">
        <x:v>28</x:v>
      </x:c>
      <x:c r="B29" s="3" t="str">
        <x:v>2026028</x:v>
      </x:c>
      <x:c r="C29" s="3" t="str">
        <x:v>全国大学生化工实验大赛</x:v>
      </x:c>
      <x:c r="D29" s="3" t="str">
        <x:v>A</x:v>
      </x:c>
      <x:c r="E29" s="3" t="str">
        <x:v>2026第九届；新增制药赛道另行通知，不能混用与主赛的阶段安排。</x:v>
      </x:c>
      <x:c r="F29" s="3" t="str">
        <x:v>对应来源已有依据</x:v>
      </x:c>
      <x:c r="G29" s="3" t="str">
        <x:v>已读赛事来源页面</x:v>
      </x:c>
      <x:c r="H29" s="3" t="n">
        <x:v>1</x:v>
      </x:c>
      <x:c r="I29" s="3" t="n">
        <x:v>2</x:v>
      </x:c>
      <x:c r="J29" s="8" t="e">
        <x:f>HYPERLINK(K29,"打开来源")</x:f>
        <x:v>HYPERLINK is not implemented. linkLocation=https://hgxy.hfut.edu.cn/_upload/article/files/2a/a3/90f6475b45d3a88778a739e48679/48601720-aee0-42d4-beb5-535c3023d396.pdf, friendlyName=打开来源</x:v>
      </x:c>
      <x:c r="K29" s="3" t="str">
        <x:v>https://hgxy.hfut.edu.cn/_upload/article/files/2a/a3/90f6475b45d3a88778a739e48679/48601720-aee0-42d4-beb5-535c3023d396.pdf</x:v>
      </x:c>
      <x:c r="L29" s="3" t="str">
        <x:v>赛事面向化工与制药等相关专业，主赛采用学校推选、分区赛和全国总决赛；制药赛道包含知识考核、数字模拟和实验操作。</x:v>
      </x:c>
      <x:c r="M29" s="3" t="str">
        <x:v>主赛最新技术方案、评分表与可公开训练题库尚未取得。
没有把2025第八届规则或其他学校校内日期写成2026全国安排。</x:v>
      </x:c>
      <x:c r="N29" s="9" t="n">
        <x:v>46298</x:v>
      </x:c>
    </x:row>
    <x:row r="30" ht="50" customHeight="1">
      <x:c r="A30" s="3" t="n">
        <x:v>29</x:v>
      </x:c>
      <x:c r="B30" s="3" t="str">
        <x:v>2026029</x:v>
      </x:c>
      <x:c r="C30" s="3" t="str">
        <x:v>上海大学生化学实验竞赛暨实验创新设计竟赛</x:v>
      </x:c>
      <x:c r="D30" s="3" t="str">
        <x:v>A</x:v>
      </x:c>
      <x:c r="E30" s="3" t="str">
        <x:v>2026第二十届上海赛；教学讲义是基础学习资料，不是竞赛真题。</x:v>
      </x:c>
      <x:c r="F30" s="3" t="str">
        <x:v>对应来源已有依据</x:v>
      </x:c>
      <x:c r="G30" s="3" t="str">
        <x:v>已读赛事来源页面</x:v>
      </x:c>
      <x:c r="H30" s="3" t="n">
        <x:v>1</x:v>
      </x:c>
      <x:c r="I30" s="3" t="n">
        <x:v>2</x:v>
      </x:c>
      <x:c r="J30" s="8" t="e">
        <x:f>HYPERLINK(K30,"打开来源")</x:f>
        <x:v>HYPERLINK is not implemented. linkLocation=https://chemlab.shu.edu.cn/info/1004/4152.htm, friendlyName=打开来源</x:v>
      </x:c>
      <x:c r="K30" s="3" t="str">
        <x:v>https://chemlab.shu.edu.cn/info/1004/4152.htm</x:v>
      </x:c>
      <x:c r="L30" s="3" t="str">
        <x:v>上海市教委主办、上海大学承办，包含化学实验与实验创新设计。</x:v>
      </x:c>
      <x:c r="M30" s="3" t="str">
        <x:v>未取得本届完整试题及评分细则。
讲义已核验高校下载入口，未逐篇读取附件；2018讲义的旧仪器参数不直接作为现行操作依据。</x:v>
      </x:c>
      <x:c r="N30" s="9" t="n">
        <x:v>46298</x:v>
      </x:c>
    </x:row>
    <x:row r="31" ht="44" customHeight="1">
      <x:c r="A31" s="3" t="n">
        <x:v>30</x:v>
      </x:c>
      <x:c r="B31" s="3" t="str">
        <x:v>2026030</x:v>
      </x:c>
      <x:c r="C31" s="3" t="str">
        <x:v>全国大学生能源经济学术创意大赛</x:v>
      </x:c>
      <x:c r="D31" s="3" t="str">
        <x:v>A</x:v>
      </x:c>
      <x:c r="E31" s="3" t="str">
        <x:v>第十二届为2025—2026赛季；创意作品与绿色低碳经营实战赛道另行安排。</x:v>
      </x:c>
      <x:c r="F31" s="3" t="str">
        <x:v>对应来源已有依据</x:v>
      </x:c>
      <x:c r="G31" s="3" t="str">
        <x:v>已读赛事来源页面</x:v>
      </x:c>
      <x:c r="H31" s="3" t="n">
        <x:v>1</x:v>
      </x:c>
      <x:c r="I31" s="3" t="n">
        <x:v>2</x:v>
      </x:c>
      <x:c r="J31" s="8" t="e">
        <x:f>HYPERLINK(K31,"打开来源")</x:f>
        <x:v>HYPERLINK is not implemented. linkLocation=https://ieep.upc.edu.cn/2025/1010/c15488a473002/page.htm, friendlyName=打开来源</x:v>
      </x:c>
      <x:c r="K31" s="3" t="str">
        <x:v>https://ieep.upc.edu.cn/2025/1010/c15488a473002/page.htm</x:v>
      </x:c>
      <x:c r="L31" s="3" t="str">
        <x:v>能源经济主题竞赛，创意作品包括研究与实践成果；按校赛、区域赛、全国赛逐级选拔。</x:v>
      </x:c>
      <x:c r="M31" s="3" t="str">
        <x:v>尚未取得官方优秀作品全文或可直接观看的完整培训课程。
IEA免费公开可视化已核验；不承诺全部细分数据可免费批量下载。</x:v>
      </x:c>
      <x:c r="N31" s="9" t="n">
        <x:v>46298</x:v>
      </x:c>
    </x:row>
    <x:row r="32" ht="44" customHeight="1">
      <x:c r="A32" s="3" t="n">
        <x:v>31</x:v>
      </x:c>
      <x:c r="B32" s="3" t="str">
        <x:v>2026031</x:v>
      </x:c>
      <x:c r="C32" s="3" t="str">
        <x:v>全国三维数字化创新设计大赛</x:v>
      </x:c>
      <x:c r="D32" s="3" t="str">
        <x:v>A</x:v>
      </x:c>
      <x:c r="E32" s="3" t="str">
        <x:v>2026第十九届；开放赛项与产业赛项的作品要求、时间分别处理。</x:v>
      </x:c>
      <x:c r="F32" s="3" t="str">
        <x:v>对应来源已有依据</x:v>
      </x:c>
      <x:c r="G32" s="3" t="str">
        <x:v>已读赛事来源页面</x:v>
      </x:c>
      <x:c r="H32" s="3" t="n">
        <x:v>1</x:v>
      </x:c>
      <x:c r="I32" s="3" t="n">
        <x:v>2</x:v>
      </x:c>
      <x:c r="J32" s="8" t="e">
        <x:f>HYPERLINK(K32,"打开来源")</x:f>
        <x:v>HYPERLINK is not implemented. linkLocation=https://3dds.3ddl.net/index.php?ctl=Informationlist&amp;id=696&amp;met=details, friendlyName=打开来源</x:v>
      </x:c>
      <x:c r="K32" s="3" t="str">
        <x:v>https://3dds.3ddl.net/index.php?ctl=Informationlist&amp;id=696&amp;met=details</x:v>
      </x:c>
      <x:c r="L32" s="3" t="str">
        <x:v>赛事围绕三维数字化创新设计，既有开放创新也有具身智能、制造等产业应用赛项。</x:v>
      </x:c>
      <x:c r="M32" s="3" t="str">
        <x:v>已取得具体要求，尚未核验可独立下载的样题模型包和训练视频；不能称为完整备赛课程。</x:v>
      </x:c>
      <x:c r="N32" s="9" t="n">
        <x:v>46298</x:v>
      </x:c>
    </x:row>
    <x:row r="33" ht="64" customHeight="1">
      <x:c r="A33" s="3" t="n">
        <x:v>32</x:v>
      </x:c>
      <x:c r="B33" s="3" t="str">
        <x:v>2026032</x:v>
      </x:c>
      <x:c r="C33" s="3" t="str">
        <x:v>一带一路暨金砖国家技能发展与技术创新大赛</x:v>
      </x:c>
      <x:c r="D33" s="3" t="str">
        <x:v>A</x:v>
      </x:c>
      <x:c r="E33" s="3" t="str">
        <x:v>2026第十届含多个独立赛项；目前代表性材料覆盖技术创新国际赛与金砖未来科幻创作赛，未覆盖全部赛项。</x:v>
      </x:c>
      <x:c r="F33" s="3" t="str">
        <x:v>对应来源已有依据</x:v>
      </x:c>
      <x:c r="G33" s="3" t="str">
        <x:v>已读赛事来源页面</x:v>
      </x:c>
      <x:c r="H33" s="3" t="n">
        <x:v>2</x:v>
      </x:c>
      <x:c r="I33" s="3" t="n">
        <x:v>2</x:v>
      </x:c>
      <x:c r="J33" s="8" t="e">
        <x:f>HYPERLINK(K33,"打开来源")</x:f>
        <x:v>HYPERLINK is not implemented. linkLocation=https://www.cdcm.uestc.edu.cn/info/1055/1865.htm, friendlyName=打开来源</x:v>
      </x:c>
      <x:c r="K33" s="3" t="str">
        <x:v>https://www.cdcm.uestc.edu.cn/info/1055/1865.htm</x:v>
      </x:c>
      <x:c r="L33" s="3" t="str">
        <x:v>金砖系列赛事包含技能发展和技术创新方向，各赛项分别规定对象、提交材料及评价方式。</x:v>
      </x:c>
      <x:c r="M33" s="3" t="str">
        <x:v>技术创新国际赛页面仅有官方搜索索引，不能计作已读规则；项目申报附件待验证。
尚缺其他技能赛项独立技术手册和训练资源，不能将代表性两赛项材料套用全系列。</x:v>
      </x:c>
      <x:c r="N33" s="9" t="n">
        <x:v>46298</x:v>
      </x:c>
    </x:row>
    <x:row r="34" ht="44" customHeight="1">
      <x:c r="A34" s="3" t="n">
        <x:v>33</x:v>
      </x:c>
      <x:c r="B34" s="3" t="str">
        <x:v>2026033</x:v>
      </x:c>
      <x:c r="C34" s="3" t="str">
        <x:v>第二十五届全国大学生机器人大赛ROBOMASTER</x:v>
      </x:c>
      <x:c r="D34" s="3" t="str">
        <x:v>A</x:v>
      </x:c>
      <x:c r="E34" s="3" t="str">
        <x:v>RoboMaster 2026高校赛；RMUC与RMUL不同，旧开发板例程仅为技术学习。</x:v>
      </x:c>
      <x:c r="F34" s="3" t="str">
        <x:v>对应来源已有依据</x:v>
      </x:c>
      <x:c r="G34" s="3" t="str">
        <x:v>已读赛事来源页面</x:v>
      </x:c>
      <x:c r="H34" s="3" t="n">
        <x:v>1</x:v>
      </x:c>
      <x:c r="I34" s="3" t="n">
        <x:v>3</x:v>
      </x:c>
      <x:c r="J34" s="8" t="e">
        <x:f>HYPERLINK(K34,"打开来源")</x:f>
        <x:v>HYPERLINK is not implemented. linkLocation=https://www.robomaster.com/zh-CN/robo/rm?type=rm-process, friendlyName=打开来源</x:v>
      </x:c>
      <x:c r="K34" s="3" t="str">
        <x:v>https://www.robomaster.com/zh-CN/robo/rm?type=rm-process</x:v>
      </x:c>
      <x:c r="L34" s="3" t="str">
        <x:v>队伍自主研发多种机器人进行对抗，综合机械、嵌入式控制、视觉和自主导航。</x:v>
      </x:c>
      <x:c r="M34" s="3" t="str">
        <x:v>未逐份验证2026资料中心所有附件及课程播放状态。
旧C板示例需要与实际硬件和工具链核对，不能承诺直接适用当前机器人。</x:v>
      </x:c>
      <x:c r="N34" s="9" t="n">
        <x:v>46298</x:v>
      </x:c>
    </x:row>
    <x:row r="35" ht="44" customHeight="1">
      <x:c r="A35" s="3" t="n">
        <x:v>34</x:v>
      </x:c>
      <x:c r="B35" s="3" t="str">
        <x:v>2026034</x:v>
      </x:c>
      <x:c r="C35" s="3" t="str">
        <x:v>第十二届全国大学生机械创新设计大赛</x:v>
      </x:c>
      <x:c r="D35" s="3" t="str">
        <x:v>A</x:v>
      </x:c>
      <x:c r="E35" s="3" t="str">
        <x:v>第十二届分2026常规赛与2027数字孪生挑战赛；2025发布的本届须知仍针对2026常规赛。</x:v>
      </x:c>
      <x:c r="F35" s="3" t="str">
        <x:v>对应来源已有依据</x:v>
      </x:c>
      <x:c r="G35" s="3" t="str">
        <x:v>已读赛事来源页面</x:v>
      </x:c>
      <x:c r="H35" s="3" t="n">
        <x:v>1</x:v>
      </x:c>
      <x:c r="I35" s="3" t="n">
        <x:v>3</x:v>
      </x:c>
      <x:c r="J35" s="8" t="e">
        <x:f>HYPERLINK(K35,"打开来源")</x:f>
        <x:v>HYPERLINK is not implemented. linkLocation=https://12umic.hit.edu.cn/2025/0321/c20012a364782/page.htm, friendlyName=打开来源</x:v>
      </x:c>
      <x:c r="K35" s="3" t="str">
        <x:v>https://12umic.hit.edu.cn/2025/0321/c20012a364782/page.htm</x:v>
      </x:c>
      <x:c r="L35" s="3" t="str">
        <x:v>赛事要求围绕指定主题进行机械创新设计，实物性能与设计资料按正式规则评审。</x:v>
      </x:c>
      <x:c r="M35" s="3" t="str">
        <x:v>选题问答正文待展开核读；未取得公开优秀作品完整技术报告，不以获奖名单代替案例。</x:v>
      </x:c>
      <x:c r="N35" s="9" t="n">
        <x:v>46298</x:v>
      </x:c>
    </x:row>
    <x:row r="36" ht="50" customHeight="1">
      <x:c r="A36" s="3" t="n">
        <x:v>35</x:v>
      </x:c>
      <x:c r="B36" s="3" t="str">
        <x:v>2026035</x:v>
      </x:c>
      <x:c r="C36" s="3" t="str">
        <x:v>第十九届全国大学生先进成图技术与产品信息建模创新大赛</x:v>
      </x:c>
      <x:c r="D36" s="3" t="str">
        <x:v>A</x:v>
      </x:c>
      <x:c r="E36" s="3" t="str">
        <x:v>2026第十九届；已发现后续通知调整赛程，第一轮PDF只用于类别与总体规则，不作为最终日期。</x:v>
      </x:c>
      <x:c r="F36" s="3" t="str">
        <x:v>对应来源已有依据</x:v>
      </x:c>
      <x:c r="G36" s="3" t="str">
        <x:v>已读赛事来源页面</x:v>
      </x:c>
      <x:c r="H36" s="3" t="n">
        <x:v>1</x:v>
      </x:c>
      <x:c r="I36" s="3" t="n">
        <x:v>3</x:v>
      </x:c>
      <x:c r="J36" s="8" t="e">
        <x:f>HYPERLINK(K36,"打开来源")</x:f>
        <x:v>HYPERLINK is not implemented. linkLocation=https://zhxy.nwsuaf.edu.cn/docs/2026-03/771f859d3f8d43e18ae9d8c155891444.pdf, friendlyName=打开来源</x:v>
      </x:c>
      <x:c r="K36" s="3" t="str">
        <x:v>https://zhxy.nwsuaf.edu.cn/docs/2026-03/771f859d3f8d43e18ae9d8c155891444.pdf</x:v>
      </x:c>
      <x:c r="L36" s="3" t="str">
        <x:v>赛事考查工程成图、产品信息建模等能力，不同专业和开放赛道要求不同。</x:v>
      </x:c>
      <x:c r="M36" s="3" t="str">
        <x:v>第一轮与后续公开通知赛程不一致，未据早期PDF写报名状态。
未取得2026完整公开真题包；教程视频已核验索引，未逐个试播，软件授权另行确认。</x:v>
      </x:c>
      <x:c r="N36" s="9" t="n">
        <x:v>46298</x:v>
      </x:c>
    </x:row>
    <x:row r="37" ht="50" customHeight="1">
      <x:c r="A37" s="3" t="n">
        <x:v>36</x:v>
      </x:c>
      <x:c r="B37" s="3" t="str">
        <x:v>2026036</x:v>
      </x:c>
      <x:c r="C37" s="3" t="str">
        <x:v>全国大学生节能减排社会实践与科技竞赛</x:v>
      </x:c>
      <x:c r="D37" s="3" t="str">
        <x:v>A</x:v>
      </x:c>
      <x:c r="E37" s="3" t="str">
        <x:v>已核验2026年第十九届官网结果通知索引；学习示例为2017年第十届，章程为2025修订版，不代表下一届时间。</x:v>
      </x:c>
      <x:c r="F37" s="3" t="str">
        <x:v>对应来源已有依据</x:v>
      </x:c>
      <x:c r="G37" s="3" t="str">
        <x:v>已读赛事来源页面</x:v>
      </x:c>
      <x:c r="H37" s="3" t="n">
        <x:v>1</x:v>
      </x:c>
      <x:c r="I37" s="3" t="n">
        <x:v>2</x:v>
      </x:c>
      <x:c r="J37" s="8" t="e">
        <x:f>HYPERLINK(K37,"打开来源")</x:f>
        <x:v>HYPERLINK is not implemented. linkLocation=https://www.jienengjianpai.org/, friendlyName=打开来源</x:v>
      </x:c>
      <x:c r="K37" s="3" t="str">
        <x:v>https://www.jienengjianpai.org/</x:v>
      </x:c>
      <x:c r="L37" s="3" t="str">
        <x:v>围绕节能减排开展科技创新和社会实践；官网提供章程、赛况和历届作品。</x:v>
      </x:c>
      <x:c r="M37" s="3" t="str">
        <x:v>未取得2026各赛道完整技术评分表及公开完整获奖报告。</x:v>
      </x:c>
      <x:c r="N37" s="9" t="n">
        <x:v>46298</x:v>
      </x:c>
    </x:row>
    <x:row r="38" ht="44" customHeight="1">
      <x:c r="A38" s="3" t="n">
        <x:v>37</x:v>
      </x:c>
      <x:c r="B38" s="3" t="str">
        <x:v>2026037</x:v>
      </x:c>
      <x:c r="C38" s="3" t="str">
        <x:v>中国大学生机械工程创新创意大赛-工业工程与精益管理创新赛</x:v>
      </x:c>
      <x:c r="D38" s="3" t="str">
        <x:v>A</x:v>
      </x:c>
      <x:c r="E38" s="3" t="str">
        <x:v>2026年度主题由高校参赛通知核验；其中提交日期只适用于该高校。赛项网站本次读取超时。</x:v>
      </x:c>
      <x:c r="F38" s="3" t="str">
        <x:v>对应来源已有依据</x:v>
      </x:c>
      <x:c r="G38" s="3" t="str">
        <x:v>已读赛事来源页面</x:v>
      </x:c>
      <x:c r="H38" s="3" t="n">
        <x:v>2</x:v>
      </x:c>
      <x:c r="I38" s="3" t="n">
        <x:v>2</x:v>
      </x:c>
      <x:c r="J38" s="8" t="e">
        <x:f>HYPERLINK(K38,"打开来源")</x:f>
        <x:v>HYPERLINK is not implemented. linkLocation=https://www.cmes.org/notice/010c5f85554e440e99d702008b58a26f.html, friendlyName=打开来源</x:v>
      </x:c>
      <x:c r="K38" s="3" t="str">
        <x:v>https://www.cmes.org/notice/010c5f85554e440e99d702008b58a26f.html</x:v>
      </x:c>
      <x:c r="L38" s="3" t="str">
        <x:v>以实际应用的工业工程或精益管理案例参赛，需说明问题、方法和应用效果。</x:v>
      </x:c>
      <x:c r="M38" s="3" t="str">
        <x:v>未读取赛项官网最新培训、完整评分表和应用报告模板；案例库仅核验平台说明及登录入口，未取得具体案例全文。</x:v>
      </x:c>
      <x:c r="N38" s="9" t="n">
        <x:v>46298</x:v>
      </x:c>
    </x:row>
    <x:row r="39" ht="50" customHeight="1">
      <x:c r="A39" s="3" t="n">
        <x:v>38</x:v>
      </x:c>
      <x:c r="B39" s="3" t="str">
        <x:v>2026038</x:v>
      </x:c>
      <x:c r="C39" s="3" t="str">
        <x:v>中国大学生机械工程创新创意大赛-机械产品数字化设计赛</x:v>
      </x:c>
      <x:c r="D39" s="3" t="str">
        <x:v>A</x:v>
      </x:c>
      <x:c r="E39" s="3" t="str">
        <x:v>已核验2026年第十五届全国公告附件与华东区域第一号公告；区域时间及高校内部时间分别标识，不代替后续通知。</x:v>
      </x:c>
      <x:c r="F39" s="3" t="str">
        <x:v>对应来源已有依据</x:v>
      </x:c>
      <x:c r="G39" s="3" t="str">
        <x:v>已读赛事来源页面</x:v>
      </x:c>
      <x:c r="H39" s="3" t="n">
        <x:v>2</x:v>
      </x:c>
      <x:c r="I39" s="3" t="n">
        <x:v>2</x:v>
      </x:c>
      <x:c r="J39" s="8" t="e">
        <x:f>HYPERLINK(K39,"打开来源")</x:f>
        <x:v>HYPERLINK is not implemented. linkLocation=https://www.cmes.org/notice/010c5f85554e440e99d702008b58a26f.html, friendlyName=打开来源</x:v>
      </x:c>
      <x:c r="K39" s="3" t="str">
        <x:v>https://www.cmes.org/notice/010c5f85554e440e99d702008b58a26f.html</x:v>
      </x:c>
      <x:c r="L39" s="3" t="str">
        <x:v>机械产品数字化设计赛分数字设计与数字孪生类别，以机械产品方案、数字模型及相关分析材料展示设计能力。</x:v>
      </x:c>
      <x:c r="M39" s="3" t="str">
        <x:v>尚未找到可直接访问的本届官方建模培训或完整优秀作品；已有两项资料均为命题/规则，不冒充实操课程。</x:v>
      </x:c>
      <x:c r="N39" s="9" t="n">
        <x:v>46298</x:v>
      </x:c>
    </x:row>
    <x:row r="40" ht="44" customHeight="1">
      <x:c r="A40" s="3" t="n">
        <x:v>39</x:v>
      </x:c>
      <x:c r="B40" s="3" t="str">
        <x:v>2026039</x:v>
      </x:c>
      <x:c r="C40" s="3" t="str">
        <x:v>中国大学生机械工程创新创意大赛-物流技术创意赛</x:v>
      </x:c>
      <x:c r="D40" s="3" t="str">
        <x:v>A</x:v>
      </x:c>
      <x:c r="E40" s="3" t="str">
        <x:v>已核验2026年度物流赛主题和散料搬运任务；高校校内截止不推广到其他学校。</x:v>
      </x:c>
      <x:c r="F40" s="3" t="str">
        <x:v>对应来源已有依据</x:v>
      </x:c>
      <x:c r="G40" s="3" t="str">
        <x:v>已读赛事来源页面</x:v>
      </x:c>
      <x:c r="H40" s="3" t="n">
        <x:v>2</x:v>
      </x:c>
      <x:c r="I40" s="3" t="n">
        <x:v>2</x:v>
      </x:c>
      <x:c r="J40" s="8" t="e">
        <x:f>HYPERLINK(K40,"打开来源")</x:f>
        <x:v>HYPERLINK is not implemented. linkLocation=https://www.cmes.org/notice/010c5f85554e440e99d702008b58a26f.html, friendlyName=打开来源</x:v>
      </x:c>
      <x:c r="K40" s="3" t="str">
        <x:v>https://www.cmes.org/notice/010c5f85554e440e99d702008b58a26f.html</x:v>
      </x:c>
      <x:c r="L40" s="3" t="str">
        <x:v>要求设计制作能够识别散料、自动装卸和转运的机器人，涉及结构设计、识别、路径规划与自主移动。</x:v>
      </x:c>
      <x:c r="M40" s="3" t="str">
        <x:v>未完整读取官方实施方案中的场地尺寸及评分细则；未取得本届机器人完整开源实现。</x:v>
      </x:c>
      <x:c r="N40" s="9" t="n">
        <x:v>46298</x:v>
      </x:c>
    </x:row>
    <x:row r="41" ht="50" customHeight="1">
      <x:c r="A41" s="3" t="n">
        <x:v>40</x:v>
      </x:c>
      <x:c r="B41" s="3" t="str">
        <x:v>2026040</x:v>
      </x:c>
      <x:c r="C41" s="3" t="str">
        <x:v>“中国软件杯”大学生软件设计大赛</x:v>
      </x:c>
      <x:c r="D41" s="3" t="str">
        <x:v>A</x:v>
      </x:c>
      <x:c r="E41" s="3" t="str">
        <x:v>已核验2026年第十五届；提供的具体培训与模型仅适用A8四旋翼无人机题，不能套到全部赛题。</x:v>
      </x:c>
      <x:c r="F41" s="3" t="str">
        <x:v>对应来源已有依据</x:v>
      </x:c>
      <x:c r="G41" s="3" t="str">
        <x:v>已读赛事来源页面</x:v>
      </x:c>
      <x:c r="H41" s="3" t="n">
        <x:v>1</x:v>
      </x:c>
      <x:c r="I41" s="3" t="n">
        <x:v>3</x:v>
      </x:c>
      <x:c r="J41" s="8" t="e">
        <x:f>HYPERLINK(K41,"打开来源")</x:f>
        <x:v>HYPERLINK is not implemented. linkLocation=https://mohub.net/competition/5/detail, friendlyName=打开来源</x:v>
      </x:c>
      <x:c r="K41" s="3" t="str">
        <x:v>https://mohub.net/competition/5/detail</x:v>
      </x:c>
      <x:c r="L41" s="3" t="str">
        <x:v>软件杯采用企业命题与软件实现；A8要求依托MWORKS完成四旋翼控制设计、仿真及性能比较。</x:v>
      </x:c>
      <x:c r="M41" s="3" t="str">
        <x:v>主赛事网站本次直连超时；仅A8资料较完整，其他赛题的专属学习材料未逐题覆盖。
模型及培训文件只核验官方索引与目标文件页，未验证下载权限或实际可运行性。</x:v>
      </x:c>
      <x:c r="N41" s="9" t="n">
        <x:v>46298</x:v>
      </x:c>
    </x:row>
    <x:row r="42" ht="50" customHeight="1">
      <x:c r="A42" s="3" t="n">
        <x:v>41</x:v>
      </x:c>
      <x:c r="B42" s="3" t="str">
        <x:v>2026041</x:v>
      </x:c>
      <x:c r="C42" s="3" t="str">
        <x:v>ACM-ICPC国际大学生程序设计竞赛</x:v>
      </x:c>
      <x:c r="D42" s="3" t="str">
        <x:v>A</x:v>
      </x:c>
      <x:c r="E42" s="3" t="str">
        <x:v>赛事通知按2026—2027赛季/第51届记录；2025世界总决赛题为往届训练资料，不作为本届题目。</x:v>
      </x:c>
      <x:c r="F42" s="3" t="str">
        <x:v>对应来源已有依据</x:v>
      </x:c>
      <x:c r="G42" s="3" t="str">
        <x:v>已读赛事来源页面</x:v>
      </x:c>
      <x:c r="H42" s="3" t="n">
        <x:v>2</x:v>
      </x:c>
      <x:c r="I42" s="3" t="n">
        <x:v>4</x:v>
      </x:c>
      <x:c r="J42" s="8" t="e">
        <x:f>HYPERLINK(K42,"打开来源")</x:f>
        <x:v>HYPERLINK is not implemented. linkLocation=https://icpc.pku.edu.cn/tzgg/12450f30353743ccaa302be16a7a1d85.htm, friendlyName=打开来源</x:v>
      </x:c>
      <x:c r="K42" s="3" t="str">
        <x:v>https://icpc.pku.edu.cn/tzgg/12450f30353743ccaa302be16a7a1d85.htm</x:v>
      </x:c>
      <x:c r="L42" s="3" t="str">
        <x:v>ICPC以程序设计与算法解题为核心；北京总部公布2026 Asia EC预选及各区域站通知，应按目标站点核对资格与赛程。</x:v>
      </x:c>
      <x:c r="M42" s="3" t="str">
        <x:v>未逐一整理2026各区域站邀请函细则；报名资格、名额和环境以具体站点通知为准。</x:v>
      </x:c>
      <x:c r="N42" s="9" t="n">
        <x:v>46298</x:v>
      </x:c>
    </x:row>
    <x:row r="43" ht="50" customHeight="1">
      <x:c r="A43" s="3" t="n">
        <x:v>42</x:v>
      </x:c>
      <x:c r="B43" s="3" t="str">
        <x:v>2026042</x:v>
      </x:c>
      <x:c r="C43" s="3" t="str">
        <x:v>百度之星·程序设计大赛</x:v>
      </x:c>
      <x:c r="D43" s="3" t="str">
        <x:v>A</x:v>
      </x:c>
      <x:c r="E43" s="3" t="str">
        <x:v>已核验2026第二十二届高校转发；官方主页动态内容本次无法展开，章程附件需验证码。练习平台包含往届题，不能标为2026正式赛题。</x:v>
      </x:c>
      <x:c r="F43" s="3" t="str">
        <x:v>对应来源已有依据</x:v>
      </x:c>
      <x:c r="G43" s="3" t="str">
        <x:v>已读赛事来源页面</x:v>
      </x:c>
      <x:c r="H43" s="3" t="n">
        <x:v>1</x:v>
      </x:c>
      <x:c r="I43" s="3" t="n">
        <x:v>3</x:v>
      </x:c>
      <x:c r="J43" s="8" t="e">
        <x:f>HYPERLINK(K43,"打开来源")</x:f>
        <x:v>HYPERLINK is not implemented. linkLocation=https://jwc.ynu.edu.cn/info/1009/4331.htm, friendlyName=打开来源</x:v>
      </x:c>
      <x:c r="K43" s="3" t="str">
        <x:v>https://jwc.ynu.edu.cn/info/1009/4331.htm</x:v>
      </x:c>
      <x:c r="L43" s="3" t="str">
        <x:v>百度之星是个人程序设计竞赛，利用程序解决挑战性算法问题；2026参赛信息以主办方章程及后续通知核对。</x:v>
      </x:c>
      <x:c r="M43" s="3" t="str">
        <x:v>未读取需验证码的2026章程附件；未核实最新决赛安排。
练习题入口由高校通知核验，目标站直连失败；未验证每年真题覆盖范围与账户后权限。</x:v>
      </x:c>
      <x:c r="N43" s="9" t="n">
        <x:v>46298</x:v>
      </x:c>
    </x:row>
    <x:row r="44" ht="64" customHeight="1">
      <x:c r="A44" s="3" t="n">
        <x:v>43</x:v>
      </x:c>
      <x:c r="B44" s="3" t="str">
        <x:v>2026043</x:v>
      </x:c>
      <x:c r="C44" s="3" t="str">
        <x:v>全国大学生计算机系统能力大赛</x:v>
      </x:c>
      <x:c r="D44" s="3" t="str">
        <x:v>A</x:v>
      </x:c>
      <x:c r="E44" s="3" t="str">
        <x:v>2026赛事包含不同赛项；本次深入资料以操作系统赛为主，获奖作品是2021—2025历史项目，rCore为长期教程。</x:v>
      </x:c>
      <x:c r="F44" s="3" t="str">
        <x:v>对应来源已有依据</x:v>
      </x:c>
      <x:c r="G44" s="3" t="str">
        <x:v>已读赛事来源页面</x:v>
      </x:c>
      <x:c r="H44" s="3" t="n">
        <x:v>2</x:v>
      </x:c>
      <x:c r="I44" s="3" t="n">
        <x:v>3</x:v>
      </x:c>
      <x:c r="J44" s="8" t="e">
        <x:f>HYPERLINK(K44,"打开来源")</x:f>
        <x:v>HYPERLINK is not implemented. linkLocation=https://github.com/oscomp, friendlyName=打开来源</x:v>
      </x:c>
      <x:c r="K44" s="3" t="str">
        <x:v>https://github.com/oscomp</x:v>
      </x:c>
      <x:c r="L44" s="3" t="str">
        <x:v>计算机系统能力大赛面向系统实现能力；操作系统赛提供内核与功能挑战方向，CPU设计赛另有独立官方入口。不同赛项规则和环境不能互用。</x:v>
      </x:c>
      <x:c r="M44" s="3" t="str">
        <x:v>尚未完整核验2026编译系统、CPU等其他赛项的技术方案与配套教程，不能称全赛项学习资料齐全。
动态竞赛平台未成功读取；OS组织页大部分详细内容仍标2025，不能直接当2026最终规则。</x:v>
      </x:c>
      <x:c r="N44" s="9" t="n">
        <x:v>46298</x:v>
      </x:c>
    </x:row>
    <x:row r="45" ht="64" customHeight="1">
      <x:c r="A45" s="3" t="n">
        <x:v>44</x:v>
      </x:c>
      <x:c r="B45" s="3" t="str">
        <x:v>2026044</x:v>
      </x:c>
      <x:c r="C45" s="3" t="str">
        <x:v>全国大学生信息安全竞赛</x:v>
      </x:c>
      <x:c r="D45" s="3" t="str">
        <x:v>A</x:v>
      </x:c>
      <x:c r="E45" s="3" t="str">
        <x:v>2026第十九届；目录名称同时涉及作品赛和创新实践能力赛。本次可读正文主要为作品赛高校转发，两个类别分开说明，不共用报名时间。</x:v>
      </x:c>
      <x:c r="F45" s="3" t="str">
        <x:v>对应来源已有依据</x:v>
      </x:c>
      <x:c r="G45" s="3" t="str">
        <x:v>已读赛事来源页面</x:v>
      </x:c>
      <x:c r="H45" s="3" t="n">
        <x:v>2</x:v>
      </x:c>
      <x:c r="I45" s="3" t="n">
        <x:v>3</x:v>
      </x:c>
      <x:c r="J45" s="8" t="e">
        <x:f>HYPERLINK(K45,"打开来源")</x:f>
        <x:v>HYPERLINK is not implemented. linkLocation=https://www.ciscn.cn/index.php/announcement?page=2, friendlyName=打开来源</x:v>
      </x:c>
      <x:c r="K45" s="3" t="str">
        <x:v>https://www.ciscn.cn/index.php/announcement?page=2</x:v>
      </x:c>
      <x:c r="L45" s="3" t="str">
        <x:v>信息安全竞赛包含作品设计与实战能力方向。作品赛分自由作品和命题挑战，强调信息安全技术及应用；具体题目按当届官方附件。</x:v>
      </x:c>
      <x:c r="M45" s="3" t="str">
        <x:v>官方公告仅搜索索引可访问，标为search_result；需补读官方2026指南及命题附件。
未核实完整2026创新实践赛技术文件、往届官方题包和作品源代码；现有技术教材只覆盖Web/API方向。</x:v>
      </x:c>
      <x:c r="N45" s="9" t="n">
        <x:v>46298</x:v>
      </x:c>
    </x:row>
    <x:row r="46" ht="50" customHeight="1">
      <x:c r="A46" s="3" t="n">
        <x:v>45</x:v>
      </x:c>
      <x:c r="B46" s="3" t="str">
        <x:v>2026045</x:v>
      </x:c>
      <x:c r="C46" s="3" t="str">
        <x:v>全国大学生信息安全与对抗技术竞赛</x:v>
      </x:c>
      <x:c r="D46" s="3" t="str">
        <x:v>A</x:v>
      </x:c>
      <x:c r="E46" s="3" t="str">
        <x:v>已核实2026年第23届线上挑战赛；不同赛道赛程分别查看，不能合并成统一报名期限。</x:v>
      </x:c>
      <x:c r="F46" s="3" t="str">
        <x:v>对应来源已有依据</x:v>
      </x:c>
      <x:c r="G46" s="3" t="str">
        <x:v>已读赛事来源页面</x:v>
      </x:c>
      <x:c r="H46" s="3" t="n">
        <x:v>1</x:v>
      </x:c>
      <x:c r="I46" s="3" t="n">
        <x:v>3</x:v>
      </x:c>
      <x:c r="J46" s="8" t="e">
        <x:f>HYPERLINK(K46,"打开来源")</x:f>
        <x:v>HYPERLINK is not implemented. linkLocation=https://www.isclab.org.cn/2026/04/21/2026年第23届信息安全与对抗技术竞赛通知【更新版】/, friendlyName=打开来源</x:v>
      </x:c>
      <x:c r="K46" s="3" t="str">
        <x:v>https://www.isclab.org.cn/2026/04/21/2026年第23届信息安全与对抗技术竞赛通知【更新版】/</x:v>
      </x:c>
      <x:c r="L46" s="3" t="str">
        <x:v>ISCC官方更新通知说明破阵夺旗、无限擂台和数据安全赛采用区域赛安排，并分别提供河南、上海、综合区域赛通知及细则。</x:v>
      </x:c>
      <x:c r="M46" s="3" t="str">
        <x:v>ISCC常态化实践平台本次打开失败；未登记为可直接使用的题库。
未找到可完整核查的2026官方公开赛题解析合集。</x:v>
      </x:c>
      <x:c r="N46" s="9" t="n">
        <x:v>46298</x:v>
      </x:c>
    </x:row>
    <x:row r="47" ht="50" customHeight="1">
      <x:c r="A47" s="3" t="n">
        <x:v>46</x:v>
      </x:c>
      <x:c r="B47" s="3" t="str">
        <x:v>2026046</x:v>
      </x:c>
      <x:c r="C47" s="3" t="str">
        <x:v>中国大学生服务外包创新创业大赛</x:v>
      </x:c>
      <x:c r="D47" s="3" t="str">
        <x:v>A</x:v>
      </x:c>
      <x:c r="E47" s="3" t="str">
        <x:v>2026年第17届全国赛已发布获奖信息；以下赛题用于备赛学习，不代表仍可报名。</x:v>
      </x:c>
      <x:c r="F47" s="3" t="str">
        <x:v>对应来源已有依据</x:v>
      </x:c>
      <x:c r="G47" s="3" t="str">
        <x:v>已读赛事来源页面</x:v>
      </x:c>
      <x:c r="H47" s="3" t="n">
        <x:v>1</x:v>
      </x:c>
      <x:c r="I47" s="3" t="n">
        <x:v>3</x:v>
      </x:c>
      <x:c r="J47" s="8" t="e">
        <x:f>HYPERLINK(K47,"打开来源")</x:f>
        <x:v>HYPERLINK is not implemented. linkLocation=https://www.fwwb.org.cn/, friendlyName=打开来源</x:v>
      </x:c>
      <x:c r="K47" s="3" t="str">
        <x:v>https://www.fwwb.org.cn/</x:v>
      </x:c>
      <x:c r="L47" s="3" t="str">
        <x:v>官方第17届赛题目录列出企业命题与多类任务，覆盖智能计算、机器人、文档理解等应用；应按选择赛题核对交付物与评价指标。</x:v>
      </x:c>
      <x:c r="M47" s="3" t="str"/>
      <x:c r="N47" s="9" t="n">
        <x:v>46298</x:v>
      </x:c>
    </x:row>
    <x:row r="48" ht="50" customHeight="1">
      <x:c r="A48" s="3" t="n">
        <x:v>47</x:v>
      </x:c>
      <x:c r="B48" s="3" t="str">
        <x:v>2026047</x:v>
      </x:c>
      <x:c r="C48" s="3" t="str">
        <x:v>中国大学生计算机设计大赛</x:v>
      </x:c>
      <x:c r="D48" s="3" t="str">
        <x:v>A</x:v>
      </x:c>
      <x:c r="E48" s="3" t="str">
        <x:v>已核实2026年第19届；官网已发布获奖公告，所列规则和模板为2026版。</x:v>
      </x:c>
      <x:c r="F48" s="3" t="str">
        <x:v>对应来源已有依据</x:v>
      </x:c>
      <x:c r="G48" s="3" t="str">
        <x:v>已读赛事来源页面</x:v>
      </x:c>
      <x:c r="H48" s="3" t="n">
        <x:v>1</x:v>
      </x:c>
      <x:c r="I48" s="3" t="n">
        <x:v>2</x:v>
      </x:c>
      <x:c r="J48" s="8" t="e">
        <x:f>HYPERLINK(K48,"打开来源")</x:f>
        <x:v>HYPERLINK is not implemented. linkLocation=https://jsjds.blcu.edu.cn/gyds1/csyq.htm, friendlyName=打开来源</x:v>
      </x:c>
      <x:c r="K48" s="3" t="str">
        <x:v>https://jsjds.blcu.edu.cn/gyds1/csyq.htm</x:v>
      </x:c>
      <x:c r="L48" s="3" t="str">
        <x:v>2026年大赛分11个作品大类，面向在籍本科生，经校赛、省赛推选参加国赛；团队和材料要求需要同时参照总规则及所选大类。</x:v>
      </x:c>
      <x:c r="M48" s="3" t="str">
        <x:v>网盘下载可能需要登录，未逐一核验模板附件；不使用2023版模板替代2026版。</x:v>
      </x:c>
      <x:c r="N48" s="9" t="n">
        <x:v>46298</x:v>
      </x:c>
    </x:row>
    <x:row r="49" ht="50" customHeight="1">
      <x:c r="A49" s="3" t="n">
        <x:v>48</x:v>
      </x:c>
      <x:c r="B49" s="3" t="str">
        <x:v>2026048</x:v>
      </x:c>
      <x:c r="C49" s="3" t="str">
        <x:v>中国高校计算机大赛</x:v>
      </x:c>
      <x:c r="D49" s="3" t="str">
        <x:v>A</x:v>
      </x:c>
      <x:c r="E49" s="3" t="str">
        <x:v>C4包含多个独立赛项；2026高校通知列8个模块，不能用移动应用赛代表整个C4。</x:v>
      </x:c>
      <x:c r="F49" s="3" t="str">
        <x:v>对应来源已有依据</x:v>
      </x:c>
      <x:c r="G49" s="3" t="str">
        <x:v>已读赛事来源页面</x:v>
      </x:c>
      <x:c r="H49" s="3" t="n">
        <x:v>1</x:v>
      </x:c>
      <x:c r="I49" s="3" t="n">
        <x:v>2</x:v>
      </x:c>
      <x:c r="J49" s="8" t="e">
        <x:f>HYPERLINK(K49,"打开来源")</x:f>
        <x:v>HYPERLINK is not implemented. linkLocation=https://jcsysx.shmtu.edu.cn/2026/0420/c12467a290204/page.htm, friendlyName=打开来源</x:v>
      </x:c>
      <x:c r="K49" s="3" t="str">
        <x:v>https://jcsysx.shmtu.edu.cn/2026/0420/c12467a290204/page.htm</x:v>
      </x:c>
      <x:c r="L49" s="3" t="str">
        <x:v>上海海事大学2026官方通知列出天梯赛、大数据、移动应用、网络技术等模块并指向C4总入口。该校报名时间和对象只适用于其校内选拔。</x:v>
      </x:c>
      <x:c r="M49" s="3" t="str">
        <x:v>C4总站本次访问超时，移动应用站为动态空页；未确认八个赛项的完整2026规则。
移动应用教程仅覆盖一个赛项；其余赛项的赛题、课程和数据集待按赛项补充。</x:v>
      </x:c>
      <x:c r="N49" s="9" t="n">
        <x:v>46298</x:v>
      </x:c>
    </x:row>
    <x:row r="50" ht="50" customHeight="1">
      <x:c r="A50" s="3" t="n">
        <x:v>49</x:v>
      </x:c>
      <x:c r="B50" s="3" t="str">
        <x:v>2026049</x:v>
      </x:c>
      <x:c r="C50" s="3" t="str">
        <x:v>2026同济大学国际建造节</x:v>
      </x:c>
      <x:c r="D50" s="3" t="str">
        <x:v>A</x:v>
      </x:c>
      <x:c r="E50" s="3" t="str">
        <x:v>2026活动已于6月6—7日举行；邀请制，不是当前开放的自由报名竞赛。</x:v>
      </x:c>
      <x:c r="F50" s="3" t="str">
        <x:v>对应来源已有依据</x:v>
      </x:c>
      <x:c r="G50" s="3" t="str">
        <x:v>已读赛事来源页面</x:v>
      </x:c>
      <x:c r="H50" s="3" t="n">
        <x:v>1</x:v>
      </x:c>
      <x:c r="I50" s="3" t="n">
        <x:v>3</x:v>
      </x:c>
      <x:c r="J50" s="8" t="e">
        <x:f>HYPERLINK(K50,"打开来源")</x:f>
        <x:v>HYPERLINK is not implemented. linkLocation=https://caup.tongji.edu.cn/a2/c8/c33362a369352/page.htm, friendlyName=打开来源</x:v>
      </x:c>
      <x:c r="K50" s="3" t="str">
        <x:v>https://caup.tongji.edu.cn/a2/c8/c33362a369352/page.htm</x:v>
      </x:c>
      <x:c r="L50" s="3" t="str">
        <x:v>同济官方通知以设计—建造一体化为核心，2026首次在复兴岛举行；官方实况介绍以竹竿与纸板围绕“你所定义的家”进行限时建造。</x:v>
      </x:c>
      <x:c r="M50" s="3" t="str">
        <x:v>未找到2026完整公开任务书或逐队获奖作品详解；现有2026实况不替代工程安全与施工指导。</x:v>
      </x:c>
      <x:c r="N50" s="9" t="n">
        <x:v>46298</x:v>
      </x:c>
    </x:row>
    <x:row r="51" ht="44" customHeight="1">
      <x:c r="A51" s="3" t="n">
        <x:v>50</x:v>
      </x:c>
      <x:c r="B51" s="3" t="str">
        <x:v>2026050</x:v>
      </x:c>
      <x:c r="C51" s="3" t="str">
        <x:v>UIA 世界大学生建筑设计竞赛</x:v>
      </x:c>
      <x:c r="D51" s="3" t="str">
        <x:v>A</x:v>
      </x:c>
      <x:c r="E51" s="3" t="str">
        <x:v>本轮对应UIA2026巴塞罗那学生竞赛；官方已公布获奖结果，资料用于回顾。</x:v>
      </x:c>
      <x:c r="F51" s="3" t="str">
        <x:v>来源对应尚待核验</x:v>
      </x:c>
      <x:c r="G51" s="3" t="str">
        <x:v>赛事来源正文待补</x:v>
      </x:c>
      <x:c r="H51" s="3" t="n">
        <x:v>1</x:v>
      </x:c>
      <x:c r="I51" s="3" t="n">
        <x:v>3</x:v>
      </x:c>
      <x:c r="J51" s="8" t="e">
        <x:f>HYPERLINK(K51,"打开来源")</x:f>
        <x:v>HYPERLINK is not implemented. linkLocation=https://uia2026bcn.org/international-student-competition/, friendlyName=打开来源</x:v>
      </x:c>
      <x:c r="K51" s="3" t="str">
        <x:v>https://uia2026bcn.org/international-student-competition/</x:v>
      </x:c>
      <x:c r="L51" s="3" t="str">
        <x:v>本届任务书主题为Catalysts of Resilience，要求针对可预见的社会、政治与气候变化风险提出空间干预。</x:v>
      </x:c>
      <x:c r="M51" s="3" t="str">
        <x:v>专题页和评审报告本次读取不稳定；评审报告、答疑仅按官方搜索结果登记，未冒充全文核验。</x:v>
      </x:c>
      <x:c r="N51" s="9" t="n">
        <x:v>46298</x:v>
      </x:c>
    </x:row>
    <x:row r="52" ht="50" customHeight="1">
      <x:c r="A52" s="3" t="n">
        <x:v>51</x:v>
      </x:c>
      <x:c r="B52" s="3" t="str">
        <x:v>2026051</x:v>
      </x:c>
      <x:c r="C52" s="3" t="str">
        <x:v>UIA-霍普杯国际大学生建筑设计竞赛</x:v>
      </x:c>
      <x:c r="D52" s="3" t="str">
        <x:v>A</x:v>
      </x:c>
      <x:c r="E52" s="3" t="str">
        <x:v>官网当前为2026届；所读规则列作品提交截止2026-10-10 24:00（北京时间）。</x:v>
      </x:c>
      <x:c r="F52" s="3" t="str">
        <x:v>对应来源已有依据</x:v>
      </x:c>
      <x:c r="G52" s="3" t="str">
        <x:v>已读赛事来源页面</x:v>
      </x:c>
      <x:c r="H52" s="3" t="n">
        <x:v>1</x:v>
      </x:c>
      <x:c r="I52" s="3" t="n">
        <x:v>2</x:v>
      </x:c>
      <x:c r="J52" s="8" t="e">
        <x:f>HYPERLINK(K52,"打开来源")</x:f>
        <x:v>HYPERLINK is not implemented. linkLocation=https://hypcup.uedmagazine.net/index.php?a=index&amp;c=Lists&amp;m=home&amp;tid=39, friendlyName=打开来源</x:v>
      </x:c>
      <x:c r="K52" s="3" t="str">
        <x:v>https://hypcup.uedmagazine.net/index.php?a=index&amp;c=Lists&amp;m=home&amp;tid=39</x:v>
      </x:c>
      <x:c r="L52" s="3" t="str">
        <x:v>2026题目为何以栖居——城市、郊区与乡村，关注社区关系、场所归属和可持续居住；官网提供报名、匿名作品和图纸视频提交要求。</x:v>
      </x:c>
      <x:c r="M52" s="3" t="str">
        <x:v>官网下载与回顾栏目本次只有导航，未获得可核查的2026范例作品或模板附件。</x:v>
      </x:c>
      <x:c r="N52" s="9" t="n">
        <x:v>46298</x:v>
      </x:c>
    </x:row>
    <x:row r="53" ht="50" customHeight="1">
      <x:c r="A53" s="3" t="n">
        <x:v>52</x:v>
      </x:c>
      <x:c r="B53" s="3" t="str">
        <x:v>2026052</x:v>
      </x:c>
      <x:c r="C53" s="3" t="str">
        <x:v>WUPENICITY城市可持续调研报告国际竞赛（智慧低碳交通）</x:v>
      </x:c>
      <x:c r="D53" s="3" t="str">
        <x:v>A</x:v>
      </x:c>
      <x:c r="E53" s="3" t="str">
        <x:v>核实到2026可持续调研报告赛事已公布获奖；目录括号内“智慧低碳交通”是否独立限定主题仍待确认。</x:v>
      </x:c>
      <x:c r="F53" s="3" t="str">
        <x:v>待确认对应范围</x:v>
      </x:c>
      <x:c r="G53" s="3" t="str">
        <x:v>已读赛事来源页面</x:v>
      </x:c>
      <x:c r="H53" s="3" t="n">
        <x:v>1</x:v>
      </x:c>
      <x:c r="I53" s="3" t="n">
        <x:v>2</x:v>
      </x:c>
      <x:c r="J53" s="8" t="e">
        <x:f>HYPERLINK(K53,"打开来源")</x:f>
        <x:v>HYPERLINK is not implemented. linkLocation=https://jzxy.bucea.edu.cn/xyxx/xwxx/406ddd84682d47ada32b7e8bb69d80c5.htm, friendlyName=打开来源</x:v>
      </x:c>
      <x:c r="K53" s="3" t="str">
        <x:v>https://jzxy.bucea.edu.cn/xyxx/xwxx/406ddd84682d47ada32b7e8bb69d80c5.htm</x:v>
      </x:c>
      <x:c r="L53" s="3" t="str">
        <x:v>北京建筑大学官方报道确认2026可持续调研报告与城市设计为两个单元，展示公共健康、陪护和养老服务等调研获奖项目，不能将其全部描述成交通赛题。</x:v>
      </x:c>
      <x:c r="M53" s="3" t="str">
        <x:v>WUPEN官网本次超时，未读到2026原始任务书、评分细则及人数要求。
尚未证实“智慧低碳交通”是2026限定赛题；不得将其他调研主题排除。</x:v>
      </x:c>
      <x:c r="N53" s="9" t="n">
        <x:v>46298</x:v>
      </x:c>
    </x:row>
    <x:row r="54" ht="50" customHeight="1">
      <x:c r="A54" s="3" t="n">
        <x:v>53</x:v>
      </x:c>
      <x:c r="B54" s="3" t="str">
        <x:v>2026053</x:v>
      </x:c>
      <x:c r="C54" s="3" t="str">
        <x:v>WUPENICITY城市设计学生作业国际竞赛</x:v>
      </x:c>
      <x:c r="D54" s="3" t="str">
        <x:v>A</x:v>
      </x:c>
      <x:c r="E54" s="3" t="str">
        <x:v>2026主题“美好生活HAI家园”；高校已于2026年7月公布获奖消息。</x:v>
      </x:c>
      <x:c r="F54" s="3" t="str">
        <x:v>对应来源已有依据</x:v>
      </x:c>
      <x:c r="G54" s="3" t="str">
        <x:v>已读赛事来源页面</x:v>
      </x:c>
      <x:c r="H54" s="3" t="n">
        <x:v>1</x:v>
      </x:c>
      <x:c r="I54" s="3" t="n">
        <x:v>3</x:v>
      </x:c>
      <x:c r="J54" s="8" t="e">
        <x:f>HYPERLINK(K54,"打开来源")</x:f>
        <x:v>HYPERLINK is not implemented. linkLocation=https://news.hqu.edu.cn/info/1019/435542.htm, friendlyName=打开来源</x:v>
      </x:c>
      <x:c r="K54" s="3" t="str">
        <x:v>https://news.hqu.edu.cn/info/1019/435542.htm</x:v>
      </x:c>
      <x:c r="L54" s="3" t="str">
        <x:v>华侨大学官方报道说明该届关注AI与人的创造力协同，涵盖交通出行、居住、公共空间和文脉延续等城市设计场景。</x:v>
      </x:c>
      <x:c r="M54" s="3" t="str">
        <x:v>WUPEN总入口超时；未获得2026任务书原文和完整提交规格，不能由新闻推断规则。</x:v>
      </x:c>
      <x:c r="N54" s="9" t="n">
        <x:v>46298</x:v>
      </x:c>
    </x:row>
    <x:row r="55" ht="50" customHeight="1">
      <x:c r="A55" s="3" t="n">
        <x:v>54</x:v>
      </x:c>
      <x:c r="B55" s="3" t="str">
        <x:v>2026054</x:v>
      </x:c>
      <x:c r="C55" s="3" t="str">
        <x:v>全国大学生花园设计建造竞赛</x:v>
      </x:c>
      <x:c r="D55" s="3" t="str">
        <x:v>A</x:v>
      </x:c>
      <x:c r="E55" s="3" t="str">
        <x:v>本次明确核实2026社区花园赛道；报名10月20日23:59，作品提交10月28日23:59（北京时间），其他赛道另查。</x:v>
      </x:c>
      <x:c r="F55" s="3" t="str">
        <x:v>对应来源已有依据</x:v>
      </x:c>
      <x:c r="G55" s="3" t="str">
        <x:v>已读赛事来源页面</x:v>
      </x:c>
      <x:c r="H55" s="3" t="n">
        <x:v>1</x:v>
      </x:c>
      <x:c r="I55" s="3" t="n">
        <x:v>2</x:v>
      </x:c>
      <x:c r="J55" s="8" t="e">
        <x:f>HYPERLINK(K55,"打开来源")</x:f>
        <x:v>HYPERLINK is not implemented. linkLocation=https://landscape-caup.tongji.edu.cn/c8/f4/c10586a379124/page.htm, friendlyName=打开来源</x:v>
      </x:c>
      <x:c r="K55" s="3" t="str">
        <x:v>https://landscape-caup.tongji.edu.cn/c8/f4/c10586a379124/page.htm</x:v>
      </x:c>
      <x:c r="L55" s="3" t="str">
        <x:v>2026社区花园主题为共同关切，强调真实社区需求、可持续材料、参与式营造及至少7天自主运维；接受相关专业本科生和研究生团队。</x:v>
      </x:c>
      <x:c r="M55" s="3" t="str">
        <x:v>本条仅覆盖社区花园赛道；不将它的报名时间、材料或人数规则用于其他花园赛道。</x:v>
      </x:c>
      <x:c r="N55" s="9" t="n">
        <x:v>46298</x:v>
      </x:c>
    </x:row>
    <x:row r="56" ht="50" customHeight="1">
      <x:c r="A56" s="3" t="n">
        <x:v>55</x:v>
      </x:c>
      <x:c r="B56" s="3" t="str">
        <x:v>2026055</x:v>
      </x:c>
      <x:c r="C56" s="3" t="str">
        <x:v>全国数字建筑创新应用大赛</x:v>
      </x:c>
      <x:c r="D56" s="3" t="str">
        <x:v>A</x:v>
      </x:c>
      <x:c r="E56" s="3" t="str">
        <x:v>已核实2026通知；所载全国报名截止7月31日，选拔赛9月12日，总决赛计划10月18日，后续赛程以专门通知为准。</x:v>
      </x:c>
      <x:c r="F56" s="3" t="str">
        <x:v>对应来源已有依据</x:v>
      </x:c>
      <x:c r="G56" s="3" t="str">
        <x:v>已读赛事来源页面</x:v>
      </x:c>
      <x:c r="H56" s="3" t="n">
        <x:v>1</x:v>
      </x:c>
      <x:c r="I56" s="3" t="n">
        <x:v>2</x:v>
      </x:c>
      <x:c r="J56" s="8" t="e">
        <x:f>HYPERLINK(K56,"打开来源")</x:f>
        <x:v>HYPERLINK is not implemented. linkLocation=https://www.ccen.com.cn/info/1150/5937.htm, friendlyName=打开来源</x:v>
      </x:c>
      <x:c r="K56" s="3" t="str">
        <x:v>https://www.ccen.com.cn/info/1150/5937.htm</x:v>
      </x:c>
      <x:c r="L56" s="3" t="str">
        <x:v>2026大赛由中国建设教育协会主办，设BIM数维建模、数字施工项目管理、工程计量计价等赛项，面向建筑相关专业在籍学生。</x:v>
      </x:c>
      <x:c r="M56" s="3" t="str">
        <x:v>比赛平台本次未成功打开，未取得具体免费课程或练习题深链接；不把平台首页当成已读课程。
参赛收费与软件授权条件见官方指南；免费阅读资料不代表参赛免费。</x:v>
      </x:c>
      <x:c r="N56" s="9" t="n">
        <x:v>46298</x:v>
      </x:c>
    </x:row>
    <x:row r="57" ht="50" customHeight="1">
      <x:c r="A57" s="3" t="n">
        <x:v>56</x:v>
      </x:c>
      <x:c r="B57" s="3" t="str">
        <x:v>2026056</x:v>
      </x:c>
      <x:c r="C57" s="3" t="str">
        <x:v>亚洲建筑师协会学生设计竞赛</x:v>
      </x:c>
      <x:c r="D57" s="3" t="str">
        <x:v>A</x:v>
      </x:c>
      <x:c r="E57" s="3" t="str">
        <x:v>官方栏目列2026学生建筑设计竞赛；2026详情页本次超时，未核实当前报名与提交期限。</x:v>
      </x:c>
      <x:c r="F57" s="3" t="str">
        <x:v>对应来源已有依据</x:v>
      </x:c>
      <x:c r="G57" s="3" t="str">
        <x:v>已读赛事来源页面</x:v>
      </x:c>
      <x:c r="H57" s="3" t="n">
        <x:v>2</x:v>
      </x:c>
      <x:c r="I57" s="3" t="n">
        <x:v>3</x:v>
      </x:c>
      <x:c r="J57" s="8" t="e">
        <x:f>HYPERLINK(K57,"打开来源")</x:f>
        <x:v>HYPERLINK is not implemented. linkLocation=https://arcasia.org/arcasia-student-design-competition/, friendlyName=打开来源</x:v>
      </x:c>
      <x:c r="K57" s="3" t="str">
        <x:v>https://arcasia.org/arcasia-student-design-competition/</x:v>
      </x:c>
      <x:c r="L57" s="3" t="str">
        <x:v>ARCASIA设有独立学生设计竞赛栏目，区别于建筑师奖和毕业设计奖；可从栏目获取2026规则入口及往届学生获奖资料。</x:v>
      </x:c>
      <x:c r="M57" s="3" t="str">
        <x:v>2026规则PDF尚未完整读取；不填主题、人数和截止时间。
2020/2023资源明确为往届参考，不代表2026规则。</x:v>
      </x:c>
      <x:c r="N57" s="9" t="n">
        <x:v>46298</x:v>
      </x:c>
    </x:row>
    <x:row r="58" ht="50" customHeight="1">
      <x:c r="A58" s="3" t="n">
        <x:v>57</x:v>
      </x:c>
      <x:c r="B58" s="3" t="str">
        <x:v>2026057</x:v>
      </x:c>
      <x:c r="C58" s="3" t="str">
        <x:v>第十届全国大学生物流设计大赛</x:v>
      </x:c>
      <x:c r="D58" s="3" t="str">
        <x:v>A</x:v>
      </x:c>
      <x:c r="E58" s="3" t="str">
        <x:v>目录写第十届；本轮能够读到的同济官方通知和完整案例均为2025年第九届，未找到可核验的第十届全国赛通知。</x:v>
      </x:c>
      <x:c r="F58" s="3" t="str">
        <x:v>待确认对应范围</x:v>
      </x:c>
      <x:c r="G58" s="3" t="str">
        <x:v>已读赛事来源页面</x:v>
      </x:c>
      <x:c r="H58" s="3" t="n">
        <x:v>1</x:v>
      </x:c>
      <x:c r="I58" s="3" t="n">
        <x:v>2</x:v>
      </x:c>
      <x:c r="J58" s="8" t="e">
        <x:f>HYPERLINK(K58,"打开来源")</x:f>
        <x:v>HYPERLINK is not implemented. linkLocation=https://tjjt.tongji.edu.cn/info/1588/11295.htm, friendlyName=打开来源</x:v>
      </x:c>
      <x:c r="K58" s="3" t="str">
        <x:v>https://tjjt.tongji.edu.cn/info/1588/11295.htm</x:v>
      </x:c>
      <x:c r="L58" s="3" t="str">
        <x:v>已核实第九届同济校内选拔通知，附有全国赛案例资料；可先学习物流问题建模与方案设计，但不能把往届题目和报名安排当作第十届要求。</x:v>
      </x:c>
      <x:c r="M58" s="3" t="str">
        <x:v>第十届全国赛的年份、规则、赛题和报名截止尚未核实；不能用第九届信息替代。
赛事报名平台本轮访问超时；未确认第十届官方培训课程或获奖方案全文。</x:v>
      </x:c>
      <x:c r="N58" s="9" t="n">
        <x:v>46298</x:v>
      </x:c>
    </x:row>
    <x:row r="59" ht="50" customHeight="1">
      <x:c r="A59" s="3" t="n">
        <x:v>58</x:v>
      </x:c>
      <x:c r="B59" s="3" t="str">
        <x:v>2026058</x:v>
      </x:c>
      <x:c r="C59" s="3" t="str">
        <x:v>第十届全国高校智能交通创新与创业大赛</x:v>
      </x:c>
      <x:c r="D59" s="3" t="str">
        <x:v>A</x:v>
      </x:c>
      <x:c r="E59" s="3" t="str">
        <x:v>官网已发布第十届比赛通知（2026-04-16）；通知正文以图片呈现，本轮没有逐页读取其全部规则。</x:v>
      </x:c>
      <x:c r="F59" s="3" t="str">
        <x:v>对应来源已有依据</x:v>
      </x:c>
      <x:c r="G59" s="3" t="str">
        <x:v>已读赛事来源页面</x:v>
      </x:c>
      <x:c r="H59" s="3" t="n">
        <x:v>1</x:v>
      </x:c>
      <x:c r="I59" s="3" t="n">
        <x:v>2</x:v>
      </x:c>
      <x:c r="J59" s="8" t="e">
        <x:f>HYPERLINK(K59,"打开来源")</x:f>
        <x:v>HYPERLINK is not implemented. linkLocation=https://www.itsnet.cn/cd/185.html, friendlyName=打开来源</x:v>
      </x:c>
      <x:c r="K59" s="3" t="str">
        <x:v>https://www.itsnet.cn/cd/185.html</x:v>
      </x:c>
      <x:c r="L59" s="3" t="str">
        <x:v>官方站点列有第十届赛事通知和作品说明书下载入口。学习可从作品说明材料与交通仿真基础开始，具体赛道与期限仍须依据完整通知。</x:v>
      </x:c>
      <x:c r="M59" s="3" t="str">
        <x:v>通知图片正文未逐页核查，因此未填报名期限、队伍人数等细节。
官方附件下载接口返回错误；作品说明书只确认为官方列出的资料入口。
未核实第十届完整培训录像或公开优秀作品全文。</x:v>
      </x:c>
      <x:c r="N59" s="9" t="n">
        <x:v>46298</x:v>
      </x:c>
    </x:row>
    <x:row r="60" ht="64" customHeight="1">
      <x:c r="A60" s="3" t="n">
        <x:v>59</x:v>
      </x:c>
      <x:c r="B60" s="3" t="str">
        <x:v>2026059</x:v>
      </x:c>
      <x:c r="C60" s="3" t="str">
        <x:v>全国大学生电子商务“创新、创意及创业”挑战赛</x:v>
      </x:c>
      <x:c r="D60" s="3" t="str">
        <x:v>A</x:v>
      </x:c>
      <x:c r="E60" s="3" t="str">
        <x:v>已核实第十六届（2025—2026）规则；官方搜索索引显示2026年9月已发布全国奖项，不能标为仍在报名。</x:v>
      </x:c>
      <x:c r="F60" s="3" t="str">
        <x:v>对应来源已有依据</x:v>
      </x:c>
      <x:c r="G60" s="3" t="str">
        <x:v>已读赛事来源页面</x:v>
      </x:c>
      <x:c r="H60" s="3" t="n">
        <x:v>2</x:v>
      </x:c>
      <x:c r="I60" s="3" t="n">
        <x:v>2</x:v>
      </x:c>
      <x:c r="J60" s="8" t="e">
        <x:f>HYPERLINK(K60,"打开来源")</x:f>
        <x:v>HYPERLINK is not implemented. linkLocation=https://www.3chuang.net/, friendlyName=打开来源</x:v>
      </x:c>
      <x:c r="K60" s="3" t="str">
        <x:v>https://www.3chuang.net/</x:v>
      </x:c>
      <x:c r="L60" s="3" t="str">
        <x:v>第十六届三创赛要求团队围绕电子商务开展创新创业实践，规则与报名由官方平台管理。可先读规则，再根据项目方向补充经营分析、数据处理等能力。</x:v>
      </x:c>
      <x:c r="M60" s="3" t="str">
        <x:v>官网动态内容本轮未能直接读取；2026获奖状态依据官方搜索索引，已明确证据级别。
未核实下一届完整规则；未找到可直接阅读的本届官方训练课程与获奖商业计划书全文。</x:v>
      </x:c>
      <x:c r="N60" s="9" t="n">
        <x:v>46298</x:v>
      </x:c>
    </x:row>
    <x:row r="61" ht="64" customHeight="1">
      <x:c r="A61" s="3" t="n">
        <x:v>60</x:v>
      </x:c>
      <x:c r="B61" s="3" t="str">
        <x:v>2026060</x:v>
      </x:c>
      <x:c r="C61" s="3" t="str">
        <x:v>全国大学生市场调查与分析大赛</x:v>
      </x:c>
      <x:c r="D61" s="3" t="str">
        <x:v>A</x:v>
      </x:c>
      <x:c r="E61" s="3" t="str">
        <x:v>已核实第十七届2026—2027赛季高校通知；不应与2026年已结束的第十六届混淆。</x:v>
      </x:c>
      <x:c r="F61" s="3" t="str">
        <x:v>对应来源已有依据</x:v>
      </x:c>
      <x:c r="G61" s="3" t="str">
        <x:v>已读赛事来源页面</x:v>
      </x:c>
      <x:c r="H61" s="3" t="n">
        <x:v>1</x:v>
      </x:c>
      <x:c r="I61" s="3" t="n">
        <x:v>3</x:v>
      </x:c>
      <x:c r="J61" s="8" t="e">
        <x:f>HYPERLINK(K61,"打开来源")</x:f>
        <x:v>HYPERLINK is not implemented. linkLocation=https://jwc.nbu.edu.cn/info/1126/18026.htm, friendlyName=打开来源</x:v>
      </x:c>
      <x:c r="K61" s="3" t="str">
        <x:v>https://jwc.nbu.edu.cn/info/1126/18026.htm</x:v>
      </x:c>
      <x:c r="L61" s="3" t="str">
        <x:v>第十七届备赛涉及个人知识学习和团队市场调查实践。宁波大学通知同时列出后续专家讲授安排，实际参赛需遵循本校及全国赛要求。</x:v>
      </x:c>
      <x:c r="M61" s="3" t="str">
        <x:v>中国商业统计学会官网栏目本轮超时，全国附件未能读取全文。
高校通知存在不同阶段日期叙述差异，本轮不据此生成全国统一截止日。
专家课程是未来安排，未当作已能学习的视频资源；未确认公开优秀调研报告全文。</x:v>
      </x:c>
      <x:c r="N61" s="9" t="n">
        <x:v>46298</x:v>
      </x:c>
    </x:row>
    <x:row r="62" ht="64" customHeight="1">
      <x:c r="A62" s="3" t="n">
        <x:v>61</x:v>
      </x:c>
      <x:c r="B62" s="3" t="str">
        <x:v>2026061</x:v>
      </x:c>
      <x:c r="C62" s="3" t="str">
        <x:v>全国大学生机器人大赛-Robocon</x:v>
      </x:c>
      <x:c r="D62" s="3" t="str">
        <x:v>A</x:v>
      </x:c>
      <x:c r="E62" s="3" t="str">
        <x:v>2026年第25届为往届；官网已在2026-09-22公布2027年第26届“女娲补天”V1规则，必须区分赛季与项目。</x:v>
      </x:c>
      <x:c r="F62" s="3" t="str">
        <x:v>对应来源已有依据</x:v>
      </x:c>
      <x:c r="G62" s="3" t="str">
        <x:v>已读赛事来源页面</x:v>
      </x:c>
      <x:c r="H62" s="3" t="n">
        <x:v>1</x:v>
      </x:c>
      <x:c r="I62" s="3" t="n">
        <x:v>2</x:v>
      </x:c>
      <x:c r="J62" s="8" t="e">
        <x:f>HYPERLINK(K62,"打开来源")</x:f>
        <x:v>HYPERLINK is not implemented. linkLocation=https://robocon.org.cn/h-col-104.html, friendlyName=打开来源</x:v>
      </x:c>
      <x:c r="K62" s="3" t="str">
        <x:v>https://robocon.org.cn/h-col-104.html</x:v>
      </x:c>
      <x:c r="L62" s="3" t="str">
        <x:v>官方通知目录同时保存2026年国内选拔赛手册与2027年新规则入口。现阶段可核验文件存在，但部分详情加载失败，不能据标题推断完整技术要求。</x:v>
      </x:c>
      <x:c r="M62" s="3" t="str">
        <x:v>两份关键材料已确认官方入口，但本轮未能读取其附件全文，均未标成page_read。
未核实可直接学习的官方公开课程或完整机器人开源代码；不以新闻照片代替技术资料。</x:v>
      </x:c>
      <x:c r="N62" s="9" t="n">
        <x:v>46298</x:v>
      </x:c>
    </x:row>
    <x:row r="63" ht="50" customHeight="1">
      <x:c r="A63" s="3" t="n">
        <x:v>62</x:v>
      </x:c>
      <x:c r="B63" s="3" t="str">
        <x:v>2026062</x:v>
      </x:c>
      <x:c r="C63" s="3" t="str">
        <x:v>日本大学生电动方程式汽车大赛（2026）</x:v>
      </x:c>
      <x:c r="D63" s="3" t="str">
        <x:v>A</x:v>
      </x:c>
      <x:c r="E63" s="3" t="str">
        <x:v>官方2026年第24届赛事已公布结果；本条对应EV组，2027年安排是另一赛季。</x:v>
      </x:c>
      <x:c r="F63" s="3" t="str">
        <x:v>对应来源已有依据</x:v>
      </x:c>
      <x:c r="G63" s="3" t="str">
        <x:v>已读赛事来源页面</x:v>
      </x:c>
      <x:c r="H63" s="3" t="n">
        <x:v>1</x:v>
      </x:c>
      <x:c r="I63" s="3" t="n">
        <x:v>3</x:v>
      </x:c>
      <x:c r="J63" s="8" t="e">
        <x:f>HYPERLINK(K63,"打开来源")</x:f>
        <x:v>HYPERLINK is not implemented. linkLocation=https://en.jsae.or.jp/formula/fsaej/official_announce/, friendlyName=打开来源</x:v>
      </x:c>
      <x:c r="K63" s="3" t="str">
        <x:v>https://en.jsae.or.jp/formula/fsaej/official_announce/</x:v>
      </x:c>
      <x:c r="L63" s="3" t="str">
        <x:v>Formula SAE Japan官方分别发布EV与ICV结果，同时提供2026本地规则与参赛规则。电动车队应结合EV要求阅读通用赛制和日本补充规则。</x:v>
      </x:c>
      <x:c r="M63" s="3" t="str">
        <x:v>本条已明确EV组；未进一步收集完整电气系统开发课程或车队开源设计。
本地补充规则不能代替所引用的基础Formula SAE规则；目前未把2027更新混入2026资料。</x:v>
      </x:c>
      <x:c r="N63" s="9" t="n">
        <x:v>46298</x:v>
      </x:c>
    </x:row>
    <x:row r="64" ht="64" customHeight="1">
      <x:c r="A64" s="3" t="n">
        <x:v>63</x:v>
      </x:c>
      <x:c r="B64" s="3" t="str">
        <x:v>2026063</x:v>
      </x:c>
      <x:c r="C64" s="3" t="str">
        <x:v>日本大学生方程式汽车大赛（2026）</x:v>
      </x:c>
      <x:c r="D64" s="3" t="str">
        <x:v>A</x:v>
      </x:c>
      <x:c r="E64" s="3" t="str">
        <x:v>2026年第24届已有结果；目录另列电动方程式，本条是否专指ICV组仍需校方确认，不自动认定。</x:v>
      </x:c>
      <x:c r="F64" s="3" t="str">
        <x:v>待确认对应范围</x:v>
      </x:c>
      <x:c r="G64" s="3" t="str">
        <x:v>已读赛事来源页面</x:v>
      </x:c>
      <x:c r="H64" s="3" t="n">
        <x:v>1</x:v>
      </x:c>
      <x:c r="I64" s="3" t="n">
        <x:v>3</x:v>
      </x:c>
      <x:c r="J64" s="8" t="e">
        <x:f>HYPERLINK(K64,"打开来源")</x:f>
        <x:v>HYPERLINK is not implemented. linkLocation=https://en.jsae.or.jp/formula/fsaej/official_announce/, friendlyName=打开来源</x:v>
      </x:c>
      <x:c r="K64" s="3" t="str">
        <x:v>https://en.jsae.or.jp/formula/fsaej/official_announce/</x:v>
      </x:c>
      <x:c r="L64" s="3" t="str">
        <x:v>官方Formula SAE Japan按EV与ICV分别公布结果。通用规则可作为本条知识资料，但学校目录中的具体组别与认定范围需单独对应。</x:v>
      </x:c>
      <x:c r="M64" s="3" t="str">
        <x:v>学校目录将电动方程式单列，但本条名称没有明确ICV；不得擅自把所有内容标成燃油组。
官方已有2026结果；2027赛季资料需另行建档，不覆盖2026历史记录。
本轮收集的是赛制及规则，未取得完整车队设计课程或制造代码库。</x:v>
      </x:c>
      <x:c r="N64" s="9" t="n">
        <x:v>46298</x:v>
      </x:c>
    </x:row>
    <x:row r="65" ht="64" customHeight="1">
      <x:c r="A65" s="3" t="n">
        <x:v>64</x:v>
      </x:c>
      <x:c r="B65" s="3" t="str">
        <x:v>2026064</x:v>
      </x:c>
      <x:c r="C65" s="3" t="str">
        <x:v>IF设计奖（IF Design Award）</x:v>
      </x:c>
      <x:c r="D65" s="3" t="str">
        <x:v>A</x:v>
      </x:c>
      <x:c r="E65" s="3" t="str">
        <x:v>iF官网已转入2027申报；专业奖和iF DESIGN STUDENT AWARD是不同项目，学校目录对应范围尚需确认。</x:v>
      </x:c>
      <x:c r="F65" s="3" t="str">
        <x:v>待确认对应范围</x:v>
      </x:c>
      <x:c r="G65" s="3" t="str">
        <x:v>已读赛事来源页面</x:v>
      </x:c>
      <x:c r="H65" s="3" t="n">
        <x:v>2</x:v>
      </x:c>
      <x:c r="I65" s="3" t="n">
        <x:v>3</x:v>
      </x:c>
      <x:c r="J65" s="8" t="e">
        <x:f>HYPERLINK(K65,"打开来源")</x:f>
        <x:v>HYPERLINK is not implemented. linkLocation=https://assets.ctfassets.net/9el74s703hin/3LisaU32dIdDzCjhL4V8r2/9c007f552f1cbbfa1dc9ecaea88b84a5/iF_DESIGN_AWARD_2027_-_Registration_Guide_-_English.pdf, friendlyName=打开来源</x:v>
      </x:c>
      <x:c r="K65" s="3" t="str">
        <x:v>https://assets.ctfassets.net/9el74s703hin/3LisaU32dIdDzCjhL4V8r2/9c007f552f1cbbfa1dc9ecaea88b84a5/iF_DESIGN_AWARD_2027_-_Registration_Guide_-_English.pdf</x:v>
      </x:c>
      <x:c r="L65" s="3" t="str">
        <x:v>2027专业奖报名指南已可读取，且明确学生与近期毕业者应申报学生奖。学生奖官方搜索索引显示2027征集已开放，截止2027-02-03；不能将学生奖和专业奖的期限、费用混为一谈。</x:v>
      </x:c>
      <x:c r="M65" s="3" t="str">
        <x:v>目录未注明专业奖还是学生奖，需先确认校内认定，不能默默替换赛事。
iF动态网页多次403；已用官方PDF核验专业奖，学生奖信息仅标search_result。
案例页未读到正文，未将其描述成已分析的完整优秀作品；2027学生奖指南PDF尚未取得。</x:v>
      </x:c>
      <x:c r="N65" s="9" t="n">
        <x:v>46298</x:v>
      </x:c>
    </x:row>
    <x:row r="66" ht="64" customHeight="1">
      <x:c r="A66" s="3" t="n">
        <x:v>65</x:v>
      </x:c>
      <x:c r="B66" s="3" t="str">
        <x:v>2026065</x:v>
      </x:c>
      <x:c r="C66" s="3" t="str">
        <x:v>红点设计大奖（Red Dot Design Award）</x:v>
      </x:c>
      <x:c r="D66" s="3" t="str">
        <x:v>A</x:v>
      </x:c>
      <x:c r="E66" s="3" t="str">
        <x:v>红点有产品设计、品牌与传达设计、设计概念三个独立赛事；2026设计概念报名已结束，2027产品设计报名已开放。</x:v>
      </x:c>
      <x:c r="F66" s="3" t="str">
        <x:v>对应来源已有依据</x:v>
      </x:c>
      <x:c r="G66" s="3" t="str">
        <x:v>已读赛事来源页面</x:v>
      </x:c>
      <x:c r="H66" s="3" t="n">
        <x:v>2</x:v>
      </x:c>
      <x:c r="I66" s="3" t="n">
        <x:v>3</x:v>
      </x:c>
      <x:c r="J66" s="8" t="e">
        <x:f>HYPERLINK(K66,"打开来源")</x:f>
        <x:v>HYPERLINK is not implemented. linkLocation=https://www.red-dot.org/award, friendlyName=打开来源</x:v>
      </x:c>
      <x:c r="K66" s="3" t="str">
        <x:v>https://www.red-dot.org/award</x:v>
      </x:c>
      <x:c r="L66" s="3" t="str">
        <x:v>官方总览明确区分三类赛事。学生概念方案可研究Design Concept规则；能销售或近期量产的产品应按Product Design资格判断，不能用一个统一报名状态覆盖整个红点奖。</x:v>
      </x:c>
      <x:c r="M66" s="3" t="str">
        <x:v>学校目录没有指定红点具体赛事，本轮保留三类区别，不生成统一截止日。
2027 Design Concept入口显示下一轮安排，但本轮不将其等同已开放；完整新年度提交规则仍需在申报时确认。
案例为作品说明，未取得制造图纸或完整设计过程报告。</x:v>
      </x:c>
      <x:c r="N66" s="9" t="n">
        <x:v>46298</x:v>
      </x:c>
    </x:row>
    <x:row r="67" ht="64" customHeight="1">
      <x:c r="A67" s="3" t="n">
        <x:v>66</x:v>
      </x:c>
      <x:c r="B67" s="3" t="str">
        <x:v>2026066</x:v>
      </x:c>
      <x:c r="C67" s="3" t="str">
        <x:v>两岸新锐设计竞赛华灿奖</x:v>
      </x:c>
      <x:c r="D67" s="3" t="str">
        <x:v>A</x:v>
      </x:c>
      <x:c r="E67" s="3" t="str">
        <x:v>已核实2026新锐设计竞赛·华灿奖通知，赛程延续至2027；官网计划2026-10-19开放，核查日2026-10-03尚未到该日期。</x:v>
      </x:c>
      <x:c r="F67" s="3" t="str">
        <x:v>对应来源已有依据</x:v>
      </x:c>
      <x:c r="G67" s="3" t="str">
        <x:v>已读赛事来源页面</x:v>
      </x:c>
      <x:c r="H67" s="3" t="n">
        <x:v>2</x:v>
      </x:c>
      <x:c r="I67" s="3" t="n">
        <x:v>2</x:v>
      </x:c>
      <x:c r="J67" s="8" t="e">
        <x:f>HYPERLINK(K67,"打开来源")</x:f>
        <x:v>HYPERLINK is not implemented. linkLocation=https://cxcyxy.cdu.edu.cn/info/1019/4390.htm, friendlyName=打开来源</x:v>
      </x:c>
      <x:c r="K67" s="3" t="str">
        <x:v>https://cxcyxy.cdu.edu.cn/info/1019/4390.htm</x:v>
      </x:c>
      <x:c r="L67" s="3" t="str">
        <x:v>高校正式通知列出创意与定向主题两条赛道。创意赛道覆盖六个设计领域，定向赛道有16个主题；不同赛道提交期限不同，不能把所有作品统一标成已截止或已开放。</x:v>
      </x:c>
      <x:c r="M67" s="3" t="str">
        <x:v>中国高等教育学会专题页本轮无法读取；官方入口由两所高校通知相互佐证。
2026章程附件进入下载过渡页，未取得全文；16项定向主题完整任务书尚未核验。
未找到本轮能直接读取的高质量完整获奖方案或公开教学课；不以获奖新闻冒充训练资料。</x:v>
      </x:c>
      <x:c r="N67" s="9" t="n">
        <x:v>46298</x:v>
      </x:c>
    </x:row>
    <x:row r="68" ht="50" customHeight="1">
      <x:c r="A68" s="3" t="n">
        <x:v>67</x:v>
      </x:c>
      <x:c r="B68" s="3" t="str">
        <x:v>2026067</x:v>
      </x:c>
      <x:c r="C68" s="3" t="str">
        <x:v>全国工业设计大赛</x:v>
      </x:c>
      <x:c r="D68" s="3" t="str">
        <x:v>A</x:v>
      </x:c>
      <x:c r="E68" s="3" t="str">
        <x:v>目录原名保留；仅找到2026第八届全国大学生工业设计大赛候选，尚不能确认同一赛事。</x:v>
      </x:c>
      <x:c r="F68" s="3" t="str">
        <x:v>待确认对应范围</x:v>
      </x:c>
      <x:c r="G68" s="3" t="str">
        <x:v>赛事来源正文待补</x:v>
      </x:c>
      <x:c r="H68" s="3" t="n">
        <x:v>1</x:v>
      </x:c>
      <x:c r="I68" s="3" t="n">
        <x:v>2</x:v>
      </x:c>
      <x:c r="J68" s="8" t="e">
        <x:f>HYPERLINK(K68,"打开来源")</x:f>
        <x:v>HYPERLINK is not implemented. linkLocation=https://cuidc.net/default.aspx, friendlyName=打开来源</x:v>
      </x:c>
      <x:c r="K68" s="3" t="str">
        <x:v>https://cuidc.net/default.aspx</x:v>
      </x:c>
      <x:c r="L68" s="3" t="str">
        <x:v>候选赛事面向工业及产品设计作品；以下参赛材料仅对应全国大学生工业设计大赛，须先核实目录对应关系。</x:v>
      </x:c>
      <x:c r="M68" s="3" t="str">
        <x:v>必须由目录负责人确认全国工业设计大赛与全国大学生工业设计大赛是否对应。
候选官网为动态页面，高校材料要求仅核对到搜索摘要；未核实本目录赛事独立作品库。</x:v>
      </x:c>
      <x:c r="N68" s="9" t="n">
        <x:v>46298</x:v>
      </x:c>
    </x:row>
    <x:row r="69" ht="50" customHeight="1">
      <x:c r="A69" s="3" t="n">
        <x:v>68</x:v>
      </x:c>
      <x:c r="B69" s="3" t="str">
        <x:v>2026068</x:v>
      </x:c>
      <x:c r="C69" s="3" t="str">
        <x:v>未来设计师·全国高校数字艺术设计大赛</x:v>
      </x:c>
      <x:c r="D69" s="3" t="str">
        <x:v>A</x:v>
      </x:c>
      <x:c r="E69" s="3" t="str">
        <x:v>核对到2026第14届；主体与命题赛道日程分别计算。</x:v>
      </x:c>
      <x:c r="F69" s="3" t="str">
        <x:v>对应来源已有依据</x:v>
      </x:c>
      <x:c r="G69" s="3" t="str">
        <x:v>已读赛事来源页面</x:v>
      </x:c>
      <x:c r="H69" s="3" t="n">
        <x:v>1</x:v>
      </x:c>
      <x:c r="I69" s="3" t="n">
        <x:v>2</x:v>
      </x:c>
      <x:c r="J69" s="8" t="e">
        <x:f>HYPERLINK(K69,"打开来源")</x:f>
        <x:v>HYPERLINK is not implemented. linkLocation=https://www.ncda.org.cn/dsjs/dssz/, friendlyName=打开来源</x:v>
      </x:c>
      <x:c r="K69" s="3" t="str">
        <x:v>https://www.ncda.org.cn/dsjs/dssz/</x:v>
      </x:c>
      <x:c r="L69" s="3" t="str">
        <x:v>官方办法设非命题、产教融合/创新创业、公益、实践挑战等赛道，数字媒体、交互与产品设计等类别须按具体赛项准备。</x:v>
      </x:c>
      <x:c r="M69" s="3" t="str">
        <x:v>未把教师教学创新大赛NDTC资源混入本学生赛事。
本轮未逐份阅读所有命题附件或核验公开完整优秀作品。</x:v>
      </x:c>
      <x:c r="N69" s="9" t="n">
        <x:v>46298</x:v>
      </x:c>
    </x:row>
    <x:row r="70" ht="50" customHeight="1">
      <x:c r="A70" s="3" t="n">
        <x:v>69</x:v>
      </x:c>
      <x:c r="B70" s="3" t="str">
        <x:v>2026069</x:v>
      </x:c>
      <x:c r="C70" s="3" t="str">
        <x:v>中美青年创客大赛</x:v>
      </x:c>
      <x:c r="D70" s="3" t="str">
        <x:v>A</x:v>
      </x:c>
      <x:c r="E70" s="3" t="str">
        <x:v>已核对2026官方要求；2025作品仅作往届学习参考。</x:v>
      </x:c>
      <x:c r="F70" s="3" t="str">
        <x:v>对应来源已有依据</x:v>
      </x:c>
      <x:c r="G70" s="3" t="str">
        <x:v>已读赛事来源页面</x:v>
      </x:c>
      <x:c r="H70" s="3" t="n">
        <x:v>1</x:v>
      </x:c>
      <x:c r="I70" s="3" t="n">
        <x:v>3</x:v>
      </x:c>
      <x:c r="J70" s="8" t="e">
        <x:f>HYPERLINK(K70,"打开来源")</x:f>
        <x:v>HYPERLINK is not implemented. linkLocation=https://chinaus-maker.cscse.edu.cn/chinaus-maker/gyds/csyq22/index.html, friendlyName=打开来源</x:v>
      </x:c>
      <x:c r="K70" s="3" t="str">
        <x:v>https://chinaus-maker.cscse.edu.cn/chinaus-maker/gyds/csyq22/index.html</x:v>
      </x:c>
      <x:c r="L70" s="3" t="str">
        <x:v>以社会和技术问题为起点制作可演示原型，官方要求展示设计、验证和迭代过程，并允许采用有合法来源的开源技术。</x:v>
      </x:c>
      <x:c r="M70" s="3" t="str">
        <x:v>技术培训目录已核实，但未核验每节视频的登录条件。</x:v>
      </x:c>
      <x:c r="N70" s="9" t="n">
        <x:v>46298</x:v>
      </x:c>
    </x:row>
    <x:row r="71" ht="50" customHeight="1">
      <x:c r="A71" s="3" t="n">
        <x:v>70</x:v>
      </x:c>
      <x:c r="B71" s="3" t="str">
        <x:v>2026070</x:v>
      </x:c>
      <x:c r="C71" s="3" t="str">
        <x:v>国际遗传工程机器大赛（IGEM）</x:v>
      </x:c>
      <x:c r="D71" s="3" t="str">
        <x:v>A</x:v>
      </x:c>
      <x:c r="E71" s="3" t="str">
        <x:v>官方索引为2026赛季；页面依赖JavaScript，正文主要由官方搜索索引核对。</x:v>
      </x:c>
      <x:c r="F71" s="3" t="str">
        <x:v>来源对应尚待核验</x:v>
      </x:c>
      <x:c r="G71" s="3" t="str">
        <x:v>赛事来源正文待补</x:v>
      </x:c>
      <x:c r="H71" s="3" t="n">
        <x:v>1</x:v>
      </x:c>
      <x:c r="I71" s="3" t="n">
        <x:v>3</x:v>
      </x:c>
      <x:c r="J71" s="8" t="e">
        <x:f>HYPERLINK(K71,"打开来源")</x:f>
        <x:v>HYPERLINK is not implemented. linkLocation=https://competition.igem.org/, friendlyName=打开来源</x:v>
      </x:c>
      <x:c r="K71" s="3" t="str">
        <x:v>https://competition.igem.org/</x:v>
      </x:c>
      <x:c r="L71" s="3" t="str">
        <x:v>iGEM围绕合成生物学项目开展团队研究，官方单列安全、交付物、归属说明和评审规则，需由学校实验条件及指导团队支持。</x:v>
      </x:c>
      <x:c r="M71" s="3" t="str">
        <x:v>三个学习页本轮未读取到可渲染正文，均如实标search_result；需在普通浏览器逐页核验细项。
未将报名收费或实验操作成本误写为学习资料免费。</x:v>
      </x:c>
      <x:c r="N71" s="9" t="n">
        <x:v>46298</x:v>
      </x:c>
    </x:row>
    <x:row r="72" ht="50" customHeight="1">
      <x:c r="A72" s="3" t="n">
        <x:v>71</x:v>
      </x:c>
      <x:c r="B72" s="3" t="str">
        <x:v>2026071</x:v>
      </x:c>
      <x:c r="C72" s="3" t="str">
        <x:v>全国大学生生命科学竞赛（创新创业类）</x:v>
      </x:c>
      <x:c r="D72" s="3" t="str">
        <x:v>A</x:v>
      </x:c>
      <x:c r="E72" s="3" t="str">
        <x:v>2026第十一届；与科学探究类分别登记。</x:v>
      </x:c>
      <x:c r="F72" s="3" t="str">
        <x:v>来源对应尚待核验</x:v>
      </x:c>
      <x:c r="G72" s="3" t="str">
        <x:v>赛事来源正文待补</x:v>
      </x:c>
      <x:c r="H72" s="3" t="n">
        <x:v>1</x:v>
      </x:c>
      <x:c r="I72" s="3" t="n">
        <x:v>2</x:v>
      </x:c>
      <x:c r="J72" s="8" t="e">
        <x:f>HYPERLINK(K72,"打开来源")</x:f>
        <x:v>HYPERLINK is not implemented. linkLocation=https://cbs.cau.edu.cn/module/download/downfile.jsp?classid=0&amp;filename=c088354256534e789eefde0370b9d2d4.pdf, friendlyName=打开来源</x:v>
      </x:c>
      <x:c r="K72" s="3" t="str">
        <x:v>https://cbs.cau.edu.cn/module/download/downfile.jsp?classid=0&amp;filename=c088354256534e789eefde0370b9d2d4.pdf</x:v>
      </x:c>
      <x:c r="L72" s="3" t="str">
        <x:v>创新创业类分创新组和创业组，围绕生命科学相关成果及其创新应用组织项目；不能沿用科学探究类实验记录评分标准。</x:v>
      </x:c>
      <x:c r="M72" s="3" t="str">
        <x:v>官方站动态内容及通知PDF未能直接展开；本项依据官方/高校搜索摘要，尚需浏览器复核完整评审附件。
未查到无需登录的当届完整获奖论文集。</x:v>
      </x:c>
      <x:c r="N72" s="9" t="n">
        <x:v>46298</x:v>
      </x:c>
    </x:row>
    <x:row r="73" ht="50" customHeight="1">
      <x:c r="A73" s="3" t="n">
        <x:v>72</x:v>
      </x:c>
      <x:c r="B73" s="3" t="str">
        <x:v>2026072</x:v>
      </x:c>
      <x:c r="C73" s="3" t="str">
        <x:v>全国大学生生命科学竞赛（科学探究类）</x:v>
      </x:c>
      <x:c r="D73" s="3" t="str">
        <x:v>A</x:v>
      </x:c>
      <x:c r="E73" s="3" t="str">
        <x:v>第十一届跨2025—2026年开展，所列资料是该届规则，不表示现在仍可报名。</x:v>
      </x:c>
      <x:c r="F73" s="3" t="str">
        <x:v>对应来源已有依据</x:v>
      </x:c>
      <x:c r="G73" s="3" t="str">
        <x:v>已读赛事来源页面</x:v>
      </x:c>
      <x:c r="H73" s="3" t="n">
        <x:v>1</x:v>
      </x:c>
      <x:c r="I73" s="3" t="n">
        <x:v>3</x:v>
      </x:c>
      <x:c r="J73" s="8" t="e">
        <x:f>HYPERLINK(K73,"打开来源")</x:f>
        <x:v>HYPERLINK is not implemented. linkLocation=https://sky.yangtzeu.edu.cn/__local/E/24/1B/85D922800D61F0CC331CE340B1D_93B0E90E_977FA.pdf, friendlyName=打开来源</x:v>
      </x:c>
      <x:c r="K73" s="3" t="str">
        <x:v>https://sky.yangtzeu.edu.cn/__local/E/24/1B/85D922800D61F0CC331CE340B1D_93B0E90E_977FA.pdf</x:v>
      </x:c>
      <x:c r="L73" s="3" t="str">
        <x:v>围绕生命科学问题开展自主实验或野外调查，形成综述、实验设计、过程记录和论文；评审重视真实过程与结果形成依据。</x:v>
      </x:c>
      <x:c r="M73" s="3" t="str">
        <x:v>模板及系统手册仅核实到高校搜索索引，附件全文仍待复核；校内报名安排不能套用同济。</x:v>
      </x:c>
      <x:c r="N73" s="9" t="n">
        <x:v>46298</x:v>
      </x:c>
    </x:row>
    <x:row r="74" ht="44" customHeight="1">
      <x:c r="A74" s="3" t="n">
        <x:v>73</x:v>
      </x:c>
      <x:c r="B74" s="3" t="str">
        <x:v>2026073</x:v>
      </x:c>
      <x:c r="C74" s="3" t="str">
        <x:v>第十八届全国大学生数学竞赛</x:v>
      </x:c>
      <x:c r="D74" s="3" t="str">
        <x:v>A</x:v>
      </x:c>
      <x:c r="E74" s="3" t="str">
        <x:v>中国数学会已发布2026第十八届通知；所列真题为往届训练，不能当成本届考题。</x:v>
      </x:c>
      <x:c r="F74" s="3" t="str">
        <x:v>对应来源已有依据</x:v>
      </x:c>
      <x:c r="G74" s="3" t="str">
        <x:v>赛事来源正文待补</x:v>
      </x:c>
      <x:c r="H74" s="3" t="n">
        <x:v>1</x:v>
      </x:c>
      <x:c r="I74" s="3" t="n">
        <x:v>2</x:v>
      </x:c>
      <x:c r="J74" s="8" t="e">
        <x:f>HYPERLINK(K74,"打开来源")</x:f>
        <x:v>HYPERLINK is not implemented. linkLocation=https://www.cms.org.cn/Home/comp/comp_details/id/1449.html, friendlyName=打开来源</x:v>
      </x:c>
      <x:c r="K74" s="3" t="str">
        <x:v>https://www.cms.org.cn/Home/comp/comp_details/id/1449.html</x:v>
      </x:c>
      <x:c r="L74" s="3" t="str">
        <x:v>赛事关注大学数学知识、数学思维与解题能力，训练时应先区分数学类和非数学类及相应组别。</x:v>
      </x:c>
      <x:c r="M74" s="3" t="str">
        <x:v>当届PDF未成功展开，具体考试范围需从官方通知附件再次核对。
真题目录已核验，但未逐份打开全部题目附件。</x:v>
      </x:c>
      <x:c r="N74" s="9" t="n">
        <x:v>46298</x:v>
      </x:c>
    </x:row>
    <x:row r="75" ht="44" customHeight="1">
      <x:c r="A75" s="3" t="n">
        <x:v>74</x:v>
      </x:c>
      <x:c r="B75" s="3" t="str">
        <x:v>2026074</x:v>
      </x:c>
      <x:c r="C75" s="3" t="str">
        <x:v>全国大学生数学建模竞赛(2026)</x:v>
      </x:c>
      <x:c r="D75" s="3" t="str">
        <x:v>A</x:v>
      </x:c>
      <x:c r="E75" s="3" t="str">
        <x:v>官网已发布2026年9月赛题；往届题库与长期课程分别标注。</x:v>
      </x:c>
      <x:c r="F75" s="3" t="str">
        <x:v>对应来源已有依据</x:v>
      </x:c>
      <x:c r="G75" s="3" t="str">
        <x:v>已读赛事来源页面</x:v>
      </x:c>
      <x:c r="H75" s="3" t="n">
        <x:v>1</x:v>
      </x:c>
      <x:c r="I75" s="3" t="n">
        <x:v>3</x:v>
      </x:c>
      <x:c r="J75" s="8" t="e">
        <x:f>HYPERLINK(K75,"打开来源")</x:f>
        <x:v>HYPERLINK is not implemented. linkLocation=https://www.mcm.edu.cn/, friendlyName=打开来源</x:v>
      </x:c>
      <x:c r="K75" s="3" t="str">
        <x:v>https://www.mcm.edu.cn/</x:v>
      </x:c>
      <x:c r="L75" s="3" t="str">
        <x:v>以实际问题为背景进行数学建模、计算和论文表达，官网提供年度赛题、竞赛规定及官方关联课程入口。</x:v>
      </x:c>
      <x:c r="M75" s="3" t="str">
        <x:v>没有把其他五一赛、美国赛或培训机构题库误列为本赛事官方题库。
尚未逐份核验2026附件及课程播放权限。</x:v>
      </x:c>
      <x:c r="N75" s="9" t="n">
        <x:v>46298</x:v>
      </x:c>
    </x:row>
    <x:row r="76" ht="44" customHeight="1">
      <x:c r="A76" s="3" t="n">
        <x:v>75</x:v>
      </x:c>
      <x:c r="B76" s="3" t="str">
        <x:v>2026075</x:v>
      </x:c>
      <x:c r="C76" s="3" t="str">
        <x:v>全国大学生统计建模大赛（2026）</x:v>
      </x:c>
      <x:c r="D76" s="3" t="str">
        <x:v>A</x:v>
      </x:c>
      <x:c r="E76" s="3" t="str">
        <x:v>核对2026第十二届；官方已公布国赛结果，资料用于学习和复盘。</x:v>
      </x:c>
      <x:c r="F76" s="3" t="str">
        <x:v>来源对应尚待核验</x:v>
      </x:c>
      <x:c r="G76" s="3" t="str">
        <x:v>赛事来源正文待补</x:v>
      </x:c>
      <x:c r="H76" s="3" t="n">
        <x:v>2</x:v>
      </x:c>
      <x:c r="I76" s="3" t="n">
        <x:v>3</x:v>
      </x:c>
      <x:c r="J76" s="8" t="e">
        <x:f>HYPERLINK(K76,"打开来源")</x:f>
        <x:v>HYPERLINK is not implemented. linkLocation=https://www.ai-learning.net/dstz/37119.jhtml, friendlyName=打开来源</x:v>
      </x:c>
      <x:c r="K76" s="3" t="str">
        <x:v>https://www.ai-learning.net/dstz/37119.jhtml</x:v>
      </x:c>
      <x:c r="L76" s="3" t="str">
        <x:v>围绕当届主题自拟统计研究题目，完成数据分析及论文；官方培训涉及研究选题、建模流程和AI使用规范。</x:v>
      </x:c>
      <x:c r="M76" s="3" t="str">
        <x:v>赛事站直接访问超时；赛事与培训资料依据官方索引，视频权限需再核验。
未获取当届优秀论文完整开放集合。</x:v>
      </x:c>
      <x:c r="N76" s="9" t="n">
        <x:v>46298</x:v>
      </x:c>
    </x:row>
    <x:row r="77" ht="50" customHeight="1">
      <x:c r="A77" s="3" t="n">
        <x:v>76</x:v>
      </x:c>
      <x:c r="B77" s="3" t="str">
        <x:v>2026076</x:v>
      </x:c>
      <x:c r="C77" s="3" t="str">
        <x:v>美国ASCE大学生土木工程竞赛</x:v>
      </x:c>
      <x:c r="D77" s="3" t="str">
        <x:v>A</x:v>
      </x:c>
      <x:c r="E77" s="3" t="str">
        <x:v>官方总页已转2027；资源中下届规则与2026结果明确区分。</x:v>
      </x:c>
      <x:c r="F77" s="3" t="str">
        <x:v>对应来源已有依据</x:v>
      </x:c>
      <x:c r="G77" s="3" t="str">
        <x:v>已读赛事来源页面</x:v>
      </x:c>
      <x:c r="H77" s="3" t="n">
        <x:v>1</x:v>
      </x:c>
      <x:c r="I77" s="3" t="n">
        <x:v>3</x:v>
      </x:c>
      <x:c r="J77" s="8" t="e">
        <x:f>HYPERLINK(K77,"打开来源")</x:f>
        <x:v>HYPERLINK is not implemented. linkLocation=https://www.asce.org/communities/student-members/conferences/asce-civil-engineering-student-championships, friendlyName=打开来源</x:v>
      </x:c>
      <x:c r="K77" s="3" t="str">
        <x:v>https://www.asce.org/communities/student-members/conferences/asce-civil-engineering-student-championships</x:v>
      </x:c>
      <x:c r="L77" s="3" t="str">
        <x:v>这是多个土木工程学生赛项的总入口，包括混凝土独木舟、可持续方案和测量等，须先确定参赛子项目。</x:v>
      </x:c>
      <x:c r="M77" s="3" t="str">
        <x:v>尚未明确同济目录实际报名的是哪个ASCE子赛项。
2027规则不能回填成2026报名条件。</x:v>
      </x:c>
      <x:c r="N77" s="9" t="n">
        <x:v>46298</x:v>
      </x:c>
    </x:row>
    <x:row r="78" ht="50" customHeight="1">
      <x:c r="A78" s="3" t="n">
        <x:v>77</x:v>
      </x:c>
      <x:c r="B78" s="3" t="str">
        <x:v>2026077</x:v>
      </x:c>
      <x:c r="C78" s="3" t="str">
        <x:v>全国大学生结构设计竞赛</x:v>
      </x:c>
      <x:c r="D78" s="3" t="str">
        <x:v>A</x:v>
      </x:c>
      <x:c r="E78" s="3" t="str">
        <x:v>核对到2026第十九届；校赛和上海分区赛具体要求不可直接等同全国决赛。</x:v>
      </x:c>
      <x:c r="F78" s="3" t="str">
        <x:v>对应来源已有依据</x:v>
      </x:c>
      <x:c r="G78" s="3" t="str">
        <x:v>已读赛事来源页面</x:v>
      </x:c>
      <x:c r="H78" s="3" t="n">
        <x:v>1</x:v>
      </x:c>
      <x:c r="I78" s="3" t="n">
        <x:v>2</x:v>
      </x:c>
      <x:c r="J78" s="8" t="e">
        <x:f>HYPERLINK(K78,"打开来源")</x:f>
        <x:v>HYPERLINK is not implemented. linkLocation=https://cxxy.lntu.edu.cn/info/1134/4785.htm, friendlyName=打开来源</x:v>
      </x:c>
      <x:c r="K78" s="3" t="str">
        <x:v>https://cxxy.lntu.edu.cn/info/1134/4785.htm</x:v>
      </x:c>
      <x:c r="L78" s="3" t="str">
        <x:v>参赛训练包括结构方案、力学计算、模型制作及加载测试；2026高校正式通知引用全国题目《勒勒车模型结构设计与制作》。</x:v>
      </x:c>
      <x:c r="M78" s="3" t="str">
        <x:v>全国官网本轮未获取稳定正文，采用高校公开的全国赛题入口。
赛题PDF下载页面尚未展开；云南大学模板仅作学习结构参考。</x:v>
      </x:c>
      <x:c r="N78" s="9" t="n">
        <x:v>46298</x:v>
      </x:c>
    </x:row>
    <x:row r="79" ht="50" customHeight="1">
      <x:c r="A79" s="3" t="n">
        <x:v>78</x:v>
      </x:c>
      <x:c r="B79" s="3" t="str">
        <x:v>2026078</x:v>
      </x:c>
      <x:c r="C79" s="3" t="str">
        <x:v>全国高校BIM毕业设计创新大赛</x:v>
      </x:c>
      <x:c r="D79" s="3" t="str">
        <x:v>A</x:v>
      </x:c>
      <x:c r="E79" s="3" t="str">
        <x:v>目录原名保留；当前官网标题为第十三届国际高校BIM毕业设计大赛，旧届资料仅作训练。</x:v>
      </x:c>
      <x:c r="F79" s="3" t="str">
        <x:v>对应来源已有依据</x:v>
      </x:c>
      <x:c r="G79" s="3" t="str">
        <x:v>已读赛事来源页面</x:v>
      </x:c>
      <x:c r="H79" s="3" t="n">
        <x:v>2</x:v>
      </x:c>
      <x:c r="I79" s="3" t="n">
        <x:v>2</x:v>
      </x:c>
      <x:c r="J79" s="8" t="e">
        <x:f>HYPERLINK(K79,"打开来源")</x:f>
        <x:v>HYPERLINK is not implemented. linkLocation=https://gxbsxs.glodonedu.com/, friendlyName=打开来源</x:v>
      </x:c>
      <x:c r="K79" s="3" t="str">
        <x:v>https://gxbsxs.glodonedu.com/</x:v>
      </x:c>
      <x:c r="L79" s="3" t="str">
        <x:v>赛事围绕BIM项目案例成果组织毕业设计；目前可以核对历史任务模块，当前第十三届的完整章程和教材仍待补充。</x:v>
      </x:c>
      <x:c r="M79" s="3" t="str">
        <x:v>当前官网为动态页；第十三届章程、参赛模块和培训课程未读取到完整正文。
历史页面含更早内容，不将其旧截止时间、软件版本和队伍要求用于当前届。</x:v>
      </x:c>
      <x:c r="N79" s="9" t="n">
        <x:v>46298</x:v>
      </x:c>
    </x:row>
    <x:row r="80" ht="44" customHeight="1">
      <x:c r="A80" s="3" t="n">
        <x:v>79</x:v>
      </x:c>
      <x:c r="B80" s="3" t="str">
        <x:v>2026079</x:v>
      </x:c>
      <x:c r="C80" s="3" t="str">
        <x:v>“外研社·国才杯”“理解当代中国”全国大学生外语能力大赛（德语组）</x:v>
      </x:c>
      <x:c r="D80" s="3" t="str">
        <x:v>A</x:v>
      </x:c>
      <x:c r="E80" s="3" t="str">
        <x:v>已确认2026德语省赛样题入口；具体省赛组织安排另查本校及上海赛区通知。</x:v>
      </x:c>
      <x:c r="F80" s="3" t="str">
        <x:v>对应来源已有依据</x:v>
      </x:c>
      <x:c r="G80" s="3" t="str">
        <x:v>赛事来源正文待补</x:v>
      </x:c>
      <x:c r="H80" s="3" t="n">
        <x:v>1</x:v>
      </x:c>
      <x:c r="I80" s="3" t="n">
        <x:v>3</x:v>
      </x:c>
      <x:c r="J80" s="8" t="e">
        <x:f>HYPERLINK(K80,"打开来源")</x:f>
        <x:v>HYPERLINK is not implemented. linkLocation=https://ucc.fltrp.com/c/2026-09-04/519783.shtml, friendlyName=打开来源</x:v>
      </x:c>
      <x:c r="K80" s="3" t="str">
        <x:v>https://ucc.fltrp.com/c/2026-09-04/519783.shtml</x:v>
      </x:c>
      <x:c r="L80" s="3" t="str">
        <x:v>德语组属于大赛多语种组；官方已于2026年9月发布德语省赛样题。教材和训练应选择德语版本。</x:v>
      </x:c>
      <x:c r="M80" s="3" t="str">
        <x:v>德语样题内容为网页未展开部分，本次未核对完整题目及答案。
尚未核对同济选拔及上海赛区具体安排。</x:v>
      </x:c>
      <x:c r="N80" s="9" t="n">
        <x:v>46298</x:v>
      </x:c>
    </x:row>
    <x:row r="81" ht="44" customHeight="1">
      <x:c r="A81" s="3" t="n">
        <x:v>80</x:v>
      </x:c>
      <x:c r="B81" s="3" t="str">
        <x:v>2026080</x:v>
      </x:c>
      <x:c r="C81" s="3" t="str">
        <x:v>“外研社·国才杯”“理解当代中国”全国大学生外语能力大赛（日语组）</x:v>
      </x:c>
      <x:c r="D81" s="3" t="str">
        <x:v>A</x:v>
      </x:c>
      <x:c r="E81" s="3" t="str">
        <x:v>已确认2026日语省赛样题入口；不沿用英语组赛制。</x:v>
      </x:c>
      <x:c r="F81" s="3" t="str">
        <x:v>对应来源已有依据</x:v>
      </x:c>
      <x:c r="G81" s="3" t="str">
        <x:v>赛事来源正文待补</x:v>
      </x:c>
      <x:c r="H81" s="3" t="n">
        <x:v>1</x:v>
      </x:c>
      <x:c r="I81" s="3" t="n">
        <x:v>3</x:v>
      </x:c>
      <x:c r="J81" s="8" t="e">
        <x:f>HYPERLINK(K81,"打开来源")</x:f>
        <x:v>HYPERLINK is not implemented. linkLocation=https://ucc.fltrp.com/c/2026-09-04/519795.shtml, friendlyName=打开来源</x:v>
      </x:c>
      <x:c r="K81" s="3" t="str">
        <x:v>https://ucc.fltrp.com/c/2026-09-04/519795.shtml</x:v>
      </x:c>
      <x:c r="L81" s="3" t="str">
        <x:v>日语组属于大赛多语种组，官方已发布2026日语省赛样题；备赛资料需区分日语语言基础与赛事专题表达。</x:v>
      </x:c>
      <x:c r="M81" s="3" t="str">
        <x:v>日语样题完整题目及答案尚未展开读取。
未核对同济选拔安排；基础日语教材不是赛事指定教材。</x:v>
      </x:c>
      <x:c r="N81" s="9" t="n">
        <x:v>46298</x:v>
      </x:c>
    </x:row>
    <x:row r="82" ht="44" customHeight="1">
      <x:c r="A82" s="3" t="n">
        <x:v>81</x:v>
      </x:c>
      <x:c r="B82" s="3" t="str">
        <x:v>2026081</x:v>
      </x:c>
      <x:c r="C82" s="3" t="str">
        <x:v>“外研社·国才杯”“理解当代中国”全国大学生外语能力大赛（英语组）</x:v>
      </x:c>
      <x:c r="D82" s="3" t="str">
        <x:v>A</x:v>
      </x:c>
      <x:c r="E82" s="3" t="str">
        <x:v>2026官方样题与评分标准已公开，各赛项应分别阅读。</x:v>
      </x:c>
      <x:c r="F82" s="3" t="str">
        <x:v>对应来源已有依据</x:v>
      </x:c>
      <x:c r="G82" s="3" t="str">
        <x:v>已读赛事来源页面</x:v>
      </x:c>
      <x:c r="H82" s="3" t="n">
        <x:v>2</x:v>
      </x:c>
      <x:c r="I82" s="3" t="n">
        <x:v>3</x:v>
      </x:c>
      <x:c r="J82" s="8" t="e">
        <x:f>HYPERLINK(K82,"打开来源")</x:f>
        <x:v>HYPERLINK is not implemented. linkLocation=https://ucc.fltrp.com/c/2026-03-27/541272.shtml, friendlyName=打开来源</x:v>
      </x:c>
      <x:c r="K82" s="3" t="str">
        <x:v>https://ucc.fltrp.com/c/2026-03-27/541272.shtml</x:v>
      </x:c>
      <x:c r="L82" s="3" t="str">
        <x:v>英语组有不同赛项；已核对国际传播综合能力和笔译的2026说明及样题，不能把两者合并成同一套考试要求。</x:v>
      </x:c>
      <x:c r="M82" s="3" t="str">
        <x:v>其他赛项及本校、省赛报名安排仍需分别核对。</x:v>
      </x:c>
      <x:c r="N82" s="9" t="n">
        <x:v>46298</x:v>
      </x:c>
    </x:row>
    <x:row r="83" ht="44" customHeight="1">
      <x:c r="A83" s="3" t="n">
        <x:v>82</x:v>
      </x:c>
      <x:c r="B83" s="3" t="str">
        <x:v>2026082</x:v>
      </x:c>
      <x:c r="C83" s="3" t="str">
        <x:v>第31届“21世纪杯”全国英语演讲比赛</x:v>
      </x:c>
      <x:c r="D83" s="3" t="str">
        <x:v>A</x:v>
      </x:c>
      <x:c r="E83" s="3" t="str">
        <x:v>2026第31届；章程列全国半决赛/总决赛为2026年10月（拟），不得把拟定日期当最终通知。</x:v>
      </x:c>
      <x:c r="F83" s="3" t="str">
        <x:v>对应来源已有依据</x:v>
      </x:c>
      <x:c r="G83" s="3" t="str">
        <x:v>已读赛事来源页面</x:v>
      </x:c>
      <x:c r="H83" s="3" t="n">
        <x:v>1</x:v>
      </x:c>
      <x:c r="I83" s="3" t="n">
        <x:v>2</x:v>
      </x:c>
      <x:c r="J83" s="8" t="e">
        <x:f>HYPERLINK(K83,"打开来源")</x:f>
        <x:v>HYPERLINK is not implemented. linkLocation=https://contest.i21st.cn/college/article/6990.html, friendlyName=打开来源</x:v>
      </x:c>
      <x:c r="K83" s="3" t="str">
        <x:v>https://contest.i21st.cn/college/article/6990.html</x:v>
      </x:c>
      <x:c r="L83" s="3" t="str">
        <x:v>由21世纪报社主办，设置青年组和大学组。2026章程公布了赛程阶段与内容、表达、综合印象评分结构。</x:v>
      </x:c>
      <x:c r="M83" s="3" t="str">
        <x:v>尚未获取可核对内容的本届选手演讲视频或完整优秀演讲稿。
ESU手册正文仅搜索索引可读，下载访问待确认。</x:v>
      </x:c>
      <x:c r="N83" s="9" t="n">
        <x:v>46298</x:v>
      </x:c>
    </x:row>
    <x:row r="84" ht="44" customHeight="1">
      <x:c r="A84" s="3" t="n">
        <x:v>83</x:v>
      </x:c>
      <x:c r="B84" s="3" t="str">
        <x:v>2026083</x:v>
      </x:c>
      <x:c r="C84" s="3" t="str">
        <x:v>第九届“外教社杯”全国高校学生跨文化能力大赛</x:v>
      </x:c>
      <x:c r="D84" s="3" t="str">
        <x:v>A</x:v>
      </x:c>
      <x:c r="E84" s="3" t="str">
        <x:v>第九届官方章程已核对；历史赛事回顾仅用于学习。</x:v>
      </x:c>
      <x:c r="F84" s="3" t="str">
        <x:v>对应来源已有依据</x:v>
      </x:c>
      <x:c r="G84" s="3" t="str">
        <x:v>已读赛事来源页面</x:v>
      </x:c>
      <x:c r="H84" s="3" t="n">
        <x:v>1</x:v>
      </x:c>
      <x:c r="I84" s="3" t="n">
        <x:v>3</x:v>
      </x:c>
      <x:c r="J84" s="8" t="e">
        <x:f>HYPERLINK(K84,"打开来源")</x:f>
        <x:v>HYPERLINK is not implemented. linkLocation=https://ictvd.oss-cn-beijing.aliyuncs.com/uploadfile/2026/0401/20260401041236519.pdf, friendlyName=打开来源</x:v>
      </x:c>
      <x:c r="K84" s="3" t="str">
        <x:v>https://ictvd.oss-cn-beijing.aliyuncs.com/uploadfile/2026/0401/20260401041236519.pdf</x:v>
      </x:c>
      <x:c r="L84" s="3" t="str">
        <x:v>赛事围绕跨文化交际能力开展，官网提供第九届完整章程、往届赛事回顾和跨文化研修资料。</x:v>
      </x:c>
      <x:c r="M84" s="3" t="str">
        <x:v>未逐一播放往届视频或下载全部研修附件。</x:v>
      </x:c>
      <x:c r="N84" s="9" t="n">
        <x:v>46298</x:v>
      </x:c>
    </x:row>
    <x:row r="85" ht="50" customHeight="1">
      <x:c r="A85" s="3" t="n">
        <x:v>84</x:v>
      </x:c>
      <x:c r="B85" s="3" t="str">
        <x:v>2026084</x:v>
      </x:c>
      <x:c r="C85" s="3" t="str">
        <x:v>全国大学生英语竞赛</x:v>
      </x:c>
      <x:c r="D85" s="3" t="str">
        <x:v>A</x:v>
      </x:c>
      <x:c r="E85" s="3" t="str">
        <x:v>2026通知及历年样题已找到；旧样题不能当2026题型。</x:v>
      </x:c>
      <x:c r="F85" s="3" t="str">
        <x:v>对应来源已有依据</x:v>
      </x:c>
      <x:c r="G85" s="3" t="str">
        <x:v>已读赛事来源页面</x:v>
      </x:c>
      <x:c r="H85" s="3" t="n">
        <x:v>2</x:v>
      </x:c>
      <x:c r="I85" s="3" t="n">
        <x:v>2</x:v>
      </x:c>
      <x:c r="J85" s="8" t="e">
        <x:f>HYPERLINK(K85,"打开来源")</x:f>
        <x:v>HYPERLINK is not implemented. linkLocation=https://bksy.cug.edu.cn/info/1504/18594.htm, friendlyName=打开来源</x:v>
      </x:c>
      <x:c r="K85" s="3" t="str">
        <x:v>https://bksy.cug.edu.cn/info/1504/18594.htm</x:v>
      </x:c>
      <x:c r="L85" s="3" t="str">
        <x:v>全国大学生英语竞赛按学习层次和专业分组，2026初、决赛安排可由高校官方通知交叉核对；不同高校的校内报名日期不能用于同济。</x:v>
      </x:c>
      <x:c r="M85" s="3" t="str">
        <x:v>官网为动态页面，本次未取得2026完整样题与配套听力。
部分高校通知沿用旧题型描述，与调整提醒存在差异，暂不整理成唯一2026题型表。</x:v>
      </x:c>
      <x:c r="N85" s="9" t="n">
        <x:v>46298</x:v>
      </x:c>
    </x:row>
    <x:row r="86" ht="50" customHeight="1">
      <x:c r="A86" s="3" t="n">
        <x:v>85</x:v>
      </x:c>
      <x:c r="B86" s="3" t="str">
        <x:v>2026085</x:v>
      </x:c>
      <x:c r="C86" s="3" t="str">
        <x:v>全国大学生光电设计竞赛</x:v>
      </x:c>
      <x:c r="D86" s="3" t="str">
        <x:v>A</x:v>
      </x:c>
      <x:c r="E86" s="3" t="str">
        <x:v>2026第十四届文件已核对，创意设计与光学设计赛道分开组织；本届部分赛段时间已过去。</x:v>
      </x:c>
      <x:c r="F86" s="3" t="str">
        <x:v>对应来源已有依据</x:v>
      </x:c>
      <x:c r="G86" s="3" t="str">
        <x:v>已读赛事来源页面</x:v>
      </x:c>
      <x:c r="H86" s="3" t="n">
        <x:v>2</x:v>
      </x:c>
      <x:c r="I86" s="3" t="n">
        <x:v>2</x:v>
      </x:c>
      <x:c r="J86" s="8" t="e">
        <x:f>HYPERLINK(K86,"打开来源")</x:f>
        <x:v>HYPERLINK is not implemented. linkLocation=https://wdy.nuist.edu.cn/_upload/article/files/e8/cb/f2ed60c748e28c0254c5523a259e/1033eff1-a5c0-49c4-badb-991b00bf2633.pdf, friendlyName=打开来源</x:v>
      </x:c>
      <x:c r="K86" s="3" t="str">
        <x:v>https://wdy.nuist.edu.cn/_upload/article/files/e8/cb/f2ed60c748e28c0254c5523a259e/1033eff1-a5c0-49c4-badb-991b00bf2633.pdf</x:v>
      </x:c>
      <x:c r="L86" s="3" t="str">
        <x:v>中国光学学会主办的光电类竞赛，2026通知列创意设计、光学设计两个赛道；光学设计赛道提供明确题目和设计报告要求。</x:v>
      </x:c>
      <x:c r="M86" s="3" t="str">
        <x:v>尚未取得可公开阅读的本届完整培训视频或优秀设计报告。
平台主页为动态页面，最终赛程变更仍需查询后续官方通知。</x:v>
      </x:c>
      <x:c r="N86" s="9" t="n">
        <x:v>46298</x:v>
      </x:c>
    </x:row>
    <x:row r="87" ht="50" customHeight="1">
      <x:c r="A87" s="3" t="n">
        <x:v>86</x:v>
      </x:c>
      <x:c r="B87" s="3" t="str">
        <x:v>2026086</x:v>
      </x:c>
      <x:c r="C87" s="3" t="str">
        <x:v>全国大学生物理实验竞赛（创新）（2026）</x:v>
      </x:c>
      <x:c r="D87" s="3" t="str">
        <x:v>A</x:v>
      </x:c>
      <x:c r="E87" s="3" t="str">
        <x:v>2026第十二届；已核对第一轮通知及当年命题、自选题和评审资料。</x:v>
      </x:c>
      <x:c r="F87" s="3" t="str">
        <x:v>对应来源已有依据</x:v>
      </x:c>
      <x:c r="G87" s="3" t="str">
        <x:v>已读赛事来源页面</x:v>
      </x:c>
      <x:c r="H87" s="3" t="n">
        <x:v>1</x:v>
      </x:c>
      <x:c r="I87" s="3" t="n">
        <x:v>2</x:v>
      </x:c>
      <x:c r="J87" s="8" t="e">
        <x:f>HYPERLINK(K87,"打开来源")</x:f>
        <x:v>HYPERLINK is not implemented. linkLocation=https://jwc.ustb.edu.cn/docs/2026-03/ce7f8929264847f5b89a67e54d9117c5.pdf, friendlyName=打开来源</x:v>
      </x:c>
      <x:c r="K87" s="3" t="str">
        <x:v>https://jwc.ustb.edu.cn/docs/2026-03/ce7f8929264847f5b89a67e54d9117c5.pdf</x:v>
      </x:c>
      <x:c r="L87" s="3" t="str">
        <x:v>赛事包括命题创新、自选课题和实验讲课等类别，要求完成可展示的物理实验或教学作品，并提交相应研究与展示材料。</x:v>
      </x:c>
      <x:c r="M87" s="3" t="str">
        <x:v>本次没有取得可核对的2026完整优秀作品报告或培训回放。
大学生物理实验讲课类别的完整细则需另行补齐，不能以命题类规则代替。</x:v>
      </x:c>
      <x:c r="N87" s="9" t="n">
        <x:v>46298</x:v>
      </x:c>
    </x:row>
    <x:row r="88" ht="44" customHeight="1">
      <x:c r="A88" s="3" t="n">
        <x:v>87</x:v>
      </x:c>
      <x:c r="B88" s="3" t="str">
        <x:v>2026087</x:v>
      </x:c>
      <x:c r="C88" s="3" t="str">
        <x:v>第三届全国大学生职业规划大赛</x:v>
      </x:c>
      <x:c r="D88" s="3" t="str">
        <x:v>A</x:v>
      </x:c>
      <x:c r="E88" s="3" t="str">
        <x:v>第三届为2025年10月至2026年4月赛季，当前应作为往届备赛资料，不声称仍在报名。</x:v>
      </x:c>
      <x:c r="F88" s="3" t="str">
        <x:v>对应来源已有依据</x:v>
      </x:c>
      <x:c r="G88" s="3" t="str">
        <x:v>已读赛事来源页面</x:v>
      </x:c>
      <x:c r="H88" s="3" t="n">
        <x:v>1</x:v>
      </x:c>
      <x:c r="I88" s="3" t="n">
        <x:v>2</x:v>
      </x:c>
      <x:c r="J88" s="8" t="e">
        <x:f>HYPERLINK(K88,"打开来源")</x:f>
        <x:v>HYPERLINK is not implemented. linkLocation=https://hudong.moe.gov.cn/srcsite/A15/s7063/202510/t20251021_1417550.html, friendlyName=打开来源</x:v>
      </x:c>
      <x:c r="K88" s="3" t="str">
        <x:v>https://hudong.moe.gov.cn/srcsite/A15/s7063/202510/t20251021_1417550.html</x:v>
      </x:c>
      <x:c r="L88" s="3" t="str">
        <x:v>教育部与天津市人民政府共同主办，学生分成长和就业赛道；两条赛道的展示目标、参赛材料和评价重点不同。</x:v>
      </x:c>
      <x:c r="M88" s="3" t="str">
        <x:v>第三届已属于历史赛季，后续参赛须等待并核对新一届通知。
成长赛道PDF正文访问超时；本次未取得可公开核对的完整获奖展示PPT。</x:v>
      </x:c>
      <x:c r="N88" s="9" t="n">
        <x:v>46298</x:v>
      </x:c>
    </x:row>
    <x:row r="89" ht="50" customHeight="1">
      <x:c r="A89" s="3" t="n">
        <x:v>88</x:v>
      </x:c>
      <x:c r="B89" s="3" t="str">
        <x:v>2026088</x:v>
      </x:c>
      <x:c r="C89" s="3" t="str">
        <x:v>全国大学生医学创新大赛暨“一带一路”国际竞赛</x:v>
      </x:c>
      <x:c r="D89" s="3" t="str">
        <x:v>A</x:v>
      </x:c>
      <x:c r="E89" s="3" t="str">
        <x:v>2026第十二届；第一轮通知计划赛程为1月至8月，官网索引已出现总决赛获奖通知。</x:v>
      </x:c>
      <x:c r="F89" s="3" t="str">
        <x:v>对应来源已有依据</x:v>
      </x:c>
      <x:c r="G89" s="3" t="str">
        <x:v>已读赛事来源页面</x:v>
      </x:c>
      <x:c r="H89" s="3" t="n">
        <x:v>2</x:v>
      </x:c>
      <x:c r="I89" s="3" t="n">
        <x:v>3</x:v>
      </x:c>
      <x:c r="J89" s="8" t="e">
        <x:f>HYPERLINK(K89,"打开来源")</x:f>
        <x:v>HYPERLINK is not implemented. linkLocation=https://jwc.njucm.edu.cn/_upload/article/files/55/1e/2dc96cc0439cbb1e00e19c2efd1d/bc70b9e0-1159-4e6e-a50d-da41780dc199.pdf, friendlyName=打开来源</x:v>
      </x:c>
      <x:c r="K89" s="3" t="str">
        <x:v>https://jwc.njucm.edu.cn/_upload/article/files/55/1e/2dc96cc0439cbb1e00e19c2efd1d/bc70b9e0-1159-4e6e-a50d-da41780dc199.pdf</x:v>
      </x:c>
      <x:c r="L89" s="3" t="str">
        <x:v>医学创新赛事设置实验设计和创新研究等作品类别，涉及不同学科赛道；应先阅读相应赛道要求，再准备研究说明与展示材料。</x:v>
      </x:c>
      <x:c r="M89" s="3" t="str">
        <x:v>官网直接访问超时，最新更正和后续届次需另行核对。
未取得可公开核对的完整优秀医学参赛作品及本届培训回放。</x:v>
      </x:c>
      <x:c r="N89" s="9" t="n">
        <x:v>46298</x:v>
      </x:c>
    </x:row>
    <x:row r="90" ht="50" customHeight="1">
      <x:c r="A90" s="3" t="n">
        <x:v>89</x:v>
      </x:c>
      <x:c r="B90" s="3" t="str">
        <x:v>2026089</x:v>
      </x:c>
      <x:c r="C90" s="3" t="str">
        <x:v>大学生数字媒体科技作品及创意竞赛</x:v>
      </x:c>
      <x:c r="D90" s="3" t="str">
        <x:v>A</x:v>
      </x:c>
      <x:c r="E90" s="3" t="str">
        <x:v>官网使用名称“全国大学生数字媒体科技作品及创意竞赛”；2026第十四届通知已发布。</x:v>
      </x:c>
      <x:c r="F90" s="3" t="str">
        <x:v>对应来源已有依据</x:v>
      </x:c>
      <x:c r="G90" s="3" t="str">
        <x:v>已读赛事来源页面</x:v>
      </x:c>
      <x:c r="H90" s="3" t="n">
        <x:v>1</x:v>
      </x:c>
      <x:c r="I90" s="3" t="n">
        <x:v>3</x:v>
      </x:c>
      <x:c r="J90" s="8" t="e">
        <x:f>HYPERLINK(K90,"打开来源")</x:f>
        <x:v>HYPERLINK is not implemented. linkLocation=https://www.cmit.cn/html/tongzhigonggao/show-144-45826-1.html, friendlyName=打开来源</x:v>
      </x:c>
      <x:c r="K90" s="3" t="str">
        <x:v>https://www.cmit.cn/html/tongzhigonggao/show-144-45826-1.html</x:v>
      </x:c>
      <x:c r="L90" s="3" t="str">
        <x:v>赛事面向数字媒体技术与创意作品，涵盖人工智能、虚拟现实、交互、数字艺术等方向；官网提供当年通知和往届作品展示。</x:v>
      </x:c>
      <x:c r="M90" s="3" t="str">
        <x:v>尚未取得本届参赛指南附件的完整可读内容，不能仅凭首页推断全部赛道细则。
优秀案例未提供可核对的公开源码；Blender手册直接访问待确认。</x:v>
      </x:c>
      <x:c r="N90" s="9" t="n">
        <x:v>46298</x:v>
      </x:c>
    </x:row>
  </x:sheetData>
  <x:conditionalFormatting sqref="F2:F90">
    <x:cfRule type="containsText" dxfId="0" priority="1" operator="containsText" text="待确认"/>
  </x:conditionalFormatting>
  <x:conditionalFormatting sqref="G2:G90">
    <x:cfRule type="containsText" dxfId="1" priority="2" operator="containsText" text="待补"/>
  </x:conditionalFormatting>
  <x:pageMargins left="0.7" right="0.7" top="0.75" bottom="0.75" header="0.3" footer="0.3"/>
  <x:tableParts count="1">
    <x:tablePart xmlns:r="http://schemas.openxmlformats.org/officeDocument/2006/relationships" r:id="R10999cede7544e4e"/>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13" hidden="0" customWidth="1"/>
    <x:col min="3" max="3" width="36" hidden="0" customWidth="1"/>
    <x:col min="4" max="4" width="44" hidden="0" customWidth="1"/>
    <x:col min="5" max="5" width="16" hidden="0" customWidth="1"/>
    <x:col min="6" max="6" width="30" hidden="0" customWidth="1"/>
    <x:col min="7" max="7" width="12" hidden="0" customWidth="1"/>
    <x:col min="8" max="8" width="42" hidden="0" customWidth="1"/>
    <x:col min="9" max="9" width="60" hidden="0" customWidth="1"/>
    <x:col min="10" max="10" width="20" hidden="0" customWidth="1"/>
    <x:col min="11" max="11" width="20" hidden="0" customWidth="1"/>
    <x:col min="12" max="12" width="24" hidden="0" customWidth="1"/>
    <x:col min="13" max="13" width="14" hidden="0" customWidth="1"/>
    <x:col min="14" max="14" width="50" hidden="0" customWidth="1"/>
    <x:col min="15" max="15" width="60" hidden="0" customWidth="1"/>
    <x:col min="16" max="16" width="14" hidden="0" customWidth="1"/>
  </x:cols>
  <x:sheetData>
    <x:row r="1" ht="32" customHeight="1">
      <x:c r="A1" s="7" t="str">
        <x:v>资料序号</x:v>
      </x:c>
      <x:c r="B1" s="7" t="str">
        <x:v>目录编号</x:v>
      </x:c>
      <x:c r="C1" s="7" t="str">
        <x:v>赛事名称</x:v>
      </x:c>
      <x:c r="D1" s="7" t="str">
        <x:v>资料名称</x:v>
      </x:c>
      <x:c r="E1" s="7" t="str">
        <x:v>资料类型</x:v>
      </x:c>
      <x:c r="F1" s="7" t="str">
        <x:v>发布方</x:v>
      </x:c>
      <x:c r="G1" s="7" t="str">
        <x:v>学习层次</x:v>
      </x:c>
      <x:c r="H1" s="7" t="str">
        <x:v>适用范围</x:v>
      </x:c>
      <x:c r="I1" s="7" t="str">
        <x:v>学习用途</x:v>
      </x:c>
      <x:c r="J1" s="7" t="str">
        <x:v>获取条件</x:v>
      </x:c>
      <x:c r="K1" s="7" t="str">
        <x:v>证据代码</x:v>
      </x:c>
      <x:c r="L1" s="7" t="str">
        <x:v>核验程度</x:v>
      </x:c>
      <x:c r="M1" s="7" t="str">
        <x:v>资料链接</x:v>
      </x:c>
      <x:c r="N1" s="7" t="str">
        <x:v>来源网址</x:v>
      </x:c>
      <x:c r="O1" s="7" t="str">
        <x:v>资料摘要</x:v>
      </x:c>
      <x:c r="P1" s="7" t="str">
        <x:v>整理日期</x:v>
      </x:c>
    </x:row>
    <x:row r="2" ht="50" customHeight="1">
      <x:c r="A2" s="3" t="n">
        <x:v>1</x:v>
      </x:c>
      <x:c r="B2" s="3" t="str">
        <x:v>2026001</x:v>
      </x:c>
      <x:c r="C2" s="3" t="str">
        <x:v>中国国际大学生创新大赛（2026）</x:v>
      </x:c>
      <x:c r="D2" s="3" t="str">
        <x:v>国赛系统学生操作手册2026</x:v>
      </x:c>
      <x:c r="E2" s="3" t="str">
        <x:v>规则与模板</x:v>
      </x:c>
      <x:c r="F2" s="3" t="str">
        <x:v>全国大学生创业服务网；常州大学转载</x:v>
      </x:c>
      <x:c r="G2" s="3" t="str">
        <x:v>入门</x:v>
      </x:c>
      <x:c r="H2" s="3" t="str">
        <x:v>2026报名及项目填报</x:v>
      </x:c>
      <x:c r="I2" s="3" t="str">
        <x:v>介绍学生账号、团队项目填写及各赛道报名流程。</x:v>
      </x:c>
      <x:c r="J2" s="3" t="str">
        <x:v>免费公开</x:v>
      </x:c>
      <x:c r="K2" s="3" t="str">
        <x:v>page_read</x:v>
      </x:c>
      <x:c r="L2" s="3" t="str">
        <x:v>已读来源页面</x:v>
      </x:c>
      <x:c r="M2" s="8" t="e">
        <x:f>HYPERLINK(N2,"打开来源")</x:f>
        <x:v>HYPERLINK is not implemented. linkLocation=https://cxcy.cczu.edu.cn/_upload/article/files/b3/a9/5f559ed043d5870607476f26468f/3aa2efe0-f4a0-4e7e-8483-d6f8a5503247.pdf, friendlyName=打开来源</x:v>
      </x:c>
      <x:c r="N2" s="3" t="str">
        <x:v>https://cxcy.cczu.edu.cn/_upload/article/files/b3/a9/5f559ed043d5870607476f26468f/3aa2efe0-f4a0-4e7e-8483-d6f8a5503247.pdf</x:v>
      </x:c>
      <x:c r="O2" s="3" t="str">
        <x:v>介绍学生账号、团队项目填写及各赛道报名流程。</x:v>
      </x:c>
      <x:c r="P2" s="9" t="n">
        <x:v>46298</x:v>
      </x:c>
    </x:row>
    <x:row r="3" ht="50" customHeight="1">
      <x:c r="A3" s="3" t="n">
        <x:v>2</x:v>
      </x:c>
      <x:c r="B3" s="3" t="str">
        <x:v>2026001</x:v>
      </x:c>
      <x:c r="C3" s="3" t="str">
        <x:v>中国国际大学生创新大赛（2026）</x:v>
      </x:c>
      <x:c r="D3" s="3" t="str">
        <x:v>2026大赛深度解读</x:v>
      </x:c>
      <x:c r="E3" s="3" t="str">
        <x:v>课程与指南</x:v>
      </x:c>
      <x:c r="F3" s="3" t="str">
        <x:v>常州大学创新创业学院</x:v>
      </x:c>
      <x:c r="G3" s="3" t="str">
        <x:v>入门</x:v>
      </x:c>
      <x:c r="H3" s="3" t="str">
        <x:v>2026备赛导读</x:v>
      </x:c>
      <x:c r="I3" s="3" t="str">
        <x:v>高校通知提供的13页PDF；为图片型资料，尚未逐页解读。</x:v>
      </x:c>
      <x:c r="J3" s="3" t="str">
        <x:v>免费公开</x:v>
      </x:c>
      <x:c r="K3" s="3" t="str">
        <x:v>official_index</x:v>
      </x:c>
      <x:c r="L3" s="3" t="str">
        <x:v>已确认索引或入口</x:v>
      </x:c>
      <x:c r="M3" s="8" t="e">
        <x:f>HYPERLINK(N3,"打开来源")</x:f>
        <x:v>HYPERLINK is not implemented. linkLocation=https://cxcy.cczu.edu.cn/_upload/article/files/b3/a9/5f559ed043d5870607476f26468f/52bcee60-c5a7-4309-b041-18d9a56eacb6.pdf, friendlyName=打开来源</x:v>
      </x:c>
      <x:c r="N3" s="3" t="str">
        <x:v>https://cxcy.cczu.edu.cn/_upload/article/files/b3/a9/5f559ed043d5870607476f26468f/52bcee60-c5a7-4309-b041-18d9a56eacb6.pdf</x:v>
      </x:c>
      <x:c r="O3" s="3" t="str">
        <x:v>高校通知提供的13页PDF；为图片型资料，尚未逐页解读。</x:v>
      </x:c>
      <x:c r="P3" s="9" t="n">
        <x:v>46298</x:v>
      </x:c>
    </x:row>
    <x:row r="4" ht="44" customHeight="1">
      <x:c r="A4" s="3" t="n">
        <x:v>3</x:v>
      </x:c>
      <x:c r="B4" s="3" t="str">
        <x:v>2026002</x:v>
      </x:c>
      <x:c r="C4" s="3" t="str">
        <x:v>“挑战杯”中国大学生创业计划竞赛</x:v>
      </x:c>
      <x:c r="D4" s="3" t="str">
        <x:v>第十五届商业计划书与汇报模板（附件3）</x:v>
      </x:c>
      <x:c r="E4" s="3" t="str">
        <x:v>作品案例</x:v>
      </x:c>
      <x:c r="F4" s="3" t="str">
        <x:v>中国农业大学团委转载</x:v>
      </x:c>
      <x:c r="G4" s="3" t="str">
        <x:v>入门</x:v>
      </x:c>
      <x:c r="H4" s="3" t="str">
        <x:v>2026创业计划书和汇报结构</x:v>
      </x:c>
      <x:c r="I4" s="3" t="str">
        <x:v>页末附件3为模板ZIP，可用于搭建材料目录；本次未解包核读。</x:v>
      </x:c>
      <x:c r="J4" s="3" t="str">
        <x:v>免费公开</x:v>
      </x:c>
      <x:c r="K4" s="3" t="str">
        <x:v>official_index</x:v>
      </x:c>
      <x:c r="L4" s="3" t="str">
        <x:v>已确认索引或入口</x:v>
      </x:c>
      <x:c r="M4" s="8" t="e">
        <x:f>HYPERLINK(N4,"打开来源")</x:f>
        <x:v>HYPERLINK is not implemented. linkLocation=https://youth.cau.edu.cn/art/2026/5/15/art_45078_1113491.html, friendlyName=打开来源</x:v>
      </x:c>
      <x:c r="N4" s="3" t="str">
        <x:v>https://youth.cau.edu.cn/art/2026/5/15/art_45078_1113491.html</x:v>
      </x:c>
      <x:c r="O4" s="3" t="str">
        <x:v>页末附件3为模板ZIP，可用于搭建材料目录；本次未解包核读。</x:v>
      </x:c>
      <x:c r="P4" s="9" t="n">
        <x:v>46298</x:v>
      </x:c>
    </x:row>
    <x:row r="5" ht="44" customHeight="1">
      <x:c r="A5" s="3" t="n">
        <x:v>4</x:v>
      </x:c>
      <x:c r="B5" s="3" t="str">
        <x:v>2026002</x:v>
      </x:c>
      <x:c r="C5" s="3" t="str">
        <x:v>“挑战杯”中国大学生创业计划竞赛</x:v>
      </x:c>
      <x:c r="D5" s="3" t="str">
        <x:v>挑战杯竞赛学霸笔记（三、四）入口</x:v>
      </x:c>
      <x:c r="E5" s="3" t="str">
        <x:v>课程与指南</x:v>
      </x:c>
      <x:c r="F5" s="3" t="str">
        <x:v>挑战杯组委会</x:v>
      </x:c>
      <x:c r="G5" s="3" t="str">
        <x:v>入门</x:v>
      </x:c>
      <x:c r="H5" s="3" t="str">
        <x:v>2026备赛指导</x:v>
      </x:c>
      <x:c r="I5" s="3" t="str">
        <x:v>官网首页提供2026年4—5月备赛笔记入口，公众号正文访问失败，内容待人工补充。</x:v>
      </x:c>
      <x:c r="J5" s="3" t="str">
        <x:v>免费公开</x:v>
      </x:c>
      <x:c r="K5" s="3" t="str">
        <x:v>official_index</x:v>
      </x:c>
      <x:c r="L5" s="3" t="str">
        <x:v>已确认索引或入口</x:v>
      </x:c>
      <x:c r="M5" s="8" t="e">
        <x:f>HYPERLINK(N5,"打开来源")</x:f>
        <x:v>HYPERLINK is not implemented. linkLocation=https://www.tiaozhanbei.net/?ID=2, friendlyName=打开来源</x:v>
      </x:c>
      <x:c r="N5" s="3" t="str">
        <x:v>https://www.tiaozhanbei.net/?ID=2</x:v>
      </x:c>
      <x:c r="O5" s="3" t="str">
        <x:v>官网首页提供2026年4—5月备赛笔记入口，公众号正文访问失败，内容待人工补充。</x:v>
      </x:c>
      <x:c r="P5" s="9" t="n">
        <x:v>46298</x:v>
      </x:c>
    </x:row>
    <x:row r="6" ht="44" customHeight="1">
      <x:c r="A6" s="3" t="n">
        <x:v>5</x:v>
      </x:c>
      <x:c r="B6" s="3" t="str">
        <x:v>2026003</x:v>
      </x:c>
      <x:c r="C6" s="3" t="str">
        <x:v>中国青年科技创新“揭榜挂帅”擂台赛</x:v>
      </x:c>
      <x:c r="D6" s="3" t="str">
        <x:v>榜题目录与需求说明</x:v>
      </x:c>
      <x:c r="E6" s="3" t="str">
        <x:v>赛题</x:v>
      </x:c>
      <x:c r="F6" s="3" t="str">
        <x:v>中国农业大学团委转载</x:v>
      </x:c>
      <x:c r="G6" s="3" t="str">
        <x:v>入门</x:v>
      </x:c>
      <x:c r="H6" s="3" t="str">
        <x:v>2026榜题选题</x:v>
      </x:c>
      <x:c r="I6" s="3" t="str">
        <x:v>先根据榜题的技术需求判断团队能力、成果类型与匹配方向。</x:v>
      </x:c>
      <x:c r="J6" s="3" t="str">
        <x:v>免费公开</x:v>
      </x:c>
      <x:c r="K6" s="3" t="str">
        <x:v>page_read</x:v>
      </x:c>
      <x:c r="L6" s="3" t="str">
        <x:v>已读来源页面</x:v>
      </x:c>
      <x:c r="M6" s="8" t="e">
        <x:f>HYPERLINK(N6,"打开来源")</x:f>
        <x:v>HYPERLINK is not implemented. linkLocation=https://youth.cau.edu.cn/art/2026/5/15/art_45078_1113491.html, friendlyName=打开来源</x:v>
      </x:c>
      <x:c r="N6" s="3" t="str">
        <x:v>https://youth.cau.edu.cn/art/2026/5/15/art_45078_1113491.html</x:v>
      </x:c>
      <x:c r="O6" s="3" t="str">
        <x:v>先根据榜题的技术需求判断团队能力、成果类型与匹配方向。</x:v>
      </x:c>
      <x:c r="P6" s="9" t="n">
        <x:v>46298</x:v>
      </x:c>
    </x:row>
    <x:row r="7" ht="44" customHeight="1">
      <x:c r="A7" s="3" t="n">
        <x:v>6</x:v>
      </x:c>
      <x:c r="B7" s="3" t="str">
        <x:v>2026003</x:v>
      </x:c>
      <x:c r="C7" s="3" t="str">
        <x:v>中国青年科技创新“揭榜挂帅”擂台赛</x:v>
      </x:c>
      <x:c r="D7" s="3" t="str">
        <x:v>榜题方案汇总材料（附件2）</x:v>
      </x:c>
      <x:c r="E7" s="3" t="str">
        <x:v>规则与模板</x:v>
      </x:c>
      <x:c r="F7" s="3" t="str">
        <x:v>中国农业大学团委转载</x:v>
      </x:c>
      <x:c r="G7" s="3" t="str">
        <x:v>入门</x:v>
      </x:c>
      <x:c r="H7" s="3" t="str">
        <x:v>2026各榜题完整方案</x:v>
      </x:c>
      <x:c r="I7" s="3" t="str">
        <x:v>页末附件2为方案ZIP；选定榜题后须展开其中对应文件核对验收要求。</x:v>
      </x:c>
      <x:c r="J7" s="3" t="str">
        <x:v>免费公开</x:v>
      </x:c>
      <x:c r="K7" s="3" t="str">
        <x:v>official_index</x:v>
      </x:c>
      <x:c r="L7" s="3" t="str">
        <x:v>已确认索引或入口</x:v>
      </x:c>
      <x:c r="M7" s="8" t="e">
        <x:f>HYPERLINK(N7,"打开来源")</x:f>
        <x:v>HYPERLINK is not implemented. linkLocation=https://youth.cau.edu.cn/art/2026/5/15/art_45078_1113491.html, friendlyName=打开来源</x:v>
      </x:c>
      <x:c r="N7" s="3" t="str">
        <x:v>https://youth.cau.edu.cn/art/2026/5/15/art_45078_1113491.html</x:v>
      </x:c>
      <x:c r="O7" s="3" t="str">
        <x:v>页末附件2为方案ZIP；选定榜题后须展开其中对应文件核对验收要求。</x:v>
      </x:c>
      <x:c r="P7" s="9" t="n">
        <x:v>46298</x:v>
      </x:c>
    </x:row>
    <x:row r="8" ht="44" customHeight="1">
      <x:c r="A8" s="3" t="n">
        <x:v>7</x:v>
      </x:c>
      <x:c r="B8" s="3" t="str">
        <x:v>2026004</x:v>
      </x:c>
      <x:c r="C8" s="3" t="str">
        <x:v>全国大学生金相技能大赛</x:v>
      </x:c>
      <x:c r="D8" s="3" t="str">
        <x:v>制样通用操作规程（PDF入口）</x:v>
      </x:c>
      <x:c r="E8" s="3" t="str">
        <x:v>课程与指南</x:v>
      </x:c>
      <x:c r="F8" s="3" t="str">
        <x:v>全国大学生金相技能大赛组委会</x:v>
      </x:c>
      <x:c r="G8" s="3" t="str">
        <x:v>入门</x:v>
      </x:c>
      <x:c r="H8" s="3" t="str">
        <x:v>实验技能赛道制样练习</x:v>
      </x:c>
      <x:c r="I8" s="3" t="str">
        <x:v>学习试样制备流程；PDF在制度页底部，本次仅检索到索引，待展开核读。</x:v>
      </x:c>
      <x:c r="J8" s="3" t="str">
        <x:v>待确认</x:v>
      </x:c>
      <x:c r="K8" s="3" t="str">
        <x:v>search_result</x:v>
      </x:c>
      <x:c r="L8" s="3" t="str">
        <x:v>仅搜索结果，待核对</x:v>
      </x:c>
      <x:c r="M8" s="8" t="e">
        <x:f>HYPERLINK(N8,"打开来源")</x:f>
        <x:v>HYPERLINK is not implemented. linkLocation=https://www.jxds.tech/guizhangzhidu, friendlyName=打开来源</x:v>
      </x:c>
      <x:c r="N8" s="3" t="str">
        <x:v>https://www.jxds.tech/guizhangzhidu</x:v>
      </x:c>
      <x:c r="O8" s="3" t="str">
        <x:v>学习试样制备流程；PDF在制度页底部，本次仅检索到索引，待展开核读。</x:v>
      </x:c>
      <x:c r="P8" s="9" t="n">
        <x:v>46298</x:v>
      </x:c>
    </x:row>
    <x:row r="9" ht="50" customHeight="1">
      <x:c r="A9" s="3" t="n">
        <x:v>8</x:v>
      </x:c>
      <x:c r="B9" s="3" t="str">
        <x:v>2026004</x:v>
      </x:c>
      <x:c r="C9" s="3" t="str">
        <x:v>全国大学生金相技能大赛</x:v>
      </x:c>
      <x:c r="D9" s="3" t="str">
        <x:v>2026金相大赛章程</x:v>
      </x:c>
      <x:c r="E9" s="3" t="str">
        <x:v>规则与模板</x:v>
      </x:c>
      <x:c r="F9" s="3" t="str">
        <x:v>全国大学生金相技能大赛组委会</x:v>
      </x:c>
      <x:c r="G9" s="3" t="str">
        <x:v>入门</x:v>
      </x:c>
      <x:c r="H9" s="3" t="str">
        <x:v>2026赛季背景</x:v>
      </x:c>
      <x:c r="I9" s="3" t="str">
        <x:v>了解赛道和组织方式；不能代替2027届的最终实施规则。</x:v>
      </x:c>
      <x:c r="J9" s="3" t="str">
        <x:v>免费公开</x:v>
      </x:c>
      <x:c r="K9" s="3" t="str">
        <x:v>search_result</x:v>
      </x:c>
      <x:c r="L9" s="3" t="str">
        <x:v>仅搜索结果，待核对</x:v>
      </x:c>
      <x:c r="M9" s="8" t="e">
        <x:f>HYPERLINK(N9,"打开来源")</x:f>
        <x:v>HYPERLINK is not implemented. linkLocation=https://cdn.jxds.tech/files/20250815/2026%E9%87%91%E7%9B%B8%E5%A4%A7%E8%B5%9B%E7%AB%A0%E7%A8%8B.pdf, friendlyName=打开来源</x:v>
      </x:c>
      <x:c r="N9" s="3" t="str">
        <x:v>https://cdn.jxds.tech/files/20250815/2026%E9%87%91%E7%9B%B8%E5%A4%A7%E8%B5%9B%E7%AB%A0%E7%A8%8B.pdf</x:v>
      </x:c>
      <x:c r="O9" s="3" t="str">
        <x:v>了解赛道和组织方式；不能代替2027届的最终实施规则。</x:v>
      </x:c>
      <x:c r="P9" s="9" t="n">
        <x:v>46298</x:v>
      </x:c>
    </x:row>
    <x:row r="10" ht="44" customHeight="1">
      <x:c r="A10" s="3" t="n">
        <x:v>9</x:v>
      </x:c>
      <x:c r="B10" s="3" t="str">
        <x:v>2026005</x:v>
      </x:c>
      <x:c r="C10" s="3" t="str">
        <x:v>全国大学生测绘学科创新创业智能大赛</x:v>
      </x:c>
      <x:c r="D10" s="3" t="str">
        <x:v>2026技能赛比赛规程（附件2—6）</x:v>
      </x:c>
      <x:c r="E10" s="3" t="str">
        <x:v>规则与模板</x:v>
      </x:c>
      <x:c r="F10" s="3" t="str">
        <x:v>中国测绘学会教育工作委员会</x:v>
      </x:c>
      <x:c r="G10" s="3" t="str">
        <x:v>入门</x:v>
      </x:c>
      <x:c r="H10" s="3" t="str">
        <x:v>2026各技能子赛项</x:v>
      </x:c>
      <x:c r="I10" s="3" t="str">
        <x:v>按数字测图、航测、激光雷达、程序设计和协同测图分别阅读要求；附件尚未全文读取。</x:v>
      </x:c>
      <x:c r="J10" s="3" t="str">
        <x:v>免费公开</x:v>
      </x:c>
      <x:c r="K10" s="3" t="str">
        <x:v>search_result</x:v>
      </x:c>
      <x:c r="L10" s="3" t="str">
        <x:v>仅搜索结果，待核对</x:v>
      </x:c>
      <x:c r="M10" s="8" t="e">
        <x:f>HYPERLINK(N10,"打开来源")</x:f>
        <x:v>HYPERLINK is not implemented. linkLocation=https://amap.csgpc.org/detail/27080.html, friendlyName=打开来源</x:v>
      </x:c>
      <x:c r="N10" s="3" t="str">
        <x:v>https://amap.csgpc.org/detail/27080.html</x:v>
      </x:c>
      <x:c r="O10" s="3" t="str">
        <x:v>按数字测图、航测、激光雷达、程序设计和协同测图分别阅读要求；附件尚未全文读取。</x:v>
      </x:c>
      <x:c r="P10" s="9" t="n">
        <x:v>46298</x:v>
      </x:c>
    </x:row>
    <x:row r="11" ht="44" customHeight="1">
      <x:c r="A11" s="3" t="n">
        <x:v>10</x:v>
      </x:c>
      <x:c r="B11" s="3" t="str">
        <x:v>2026005</x:v>
      </x:c>
      <x:c r="C11" s="3" t="str">
        <x:v>全国大学生测绘学科创新创业智能大赛</x:v>
      </x:c>
      <x:c r="D11" s="3" t="str">
        <x:v>无人机航测仿真比赛规程（2025参考版）</x:v>
      </x:c>
      <x:c r="E11" s="3" t="str">
        <x:v>赛题</x:v>
      </x:c>
      <x:c r="F11" s="3" t="str">
        <x:v>中国测绘学会</x:v>
      </x:c>
      <x:c r="G11" s="3" t="str">
        <x:v>入门</x:v>
      </x:c>
      <x:c r="H11" s="3" t="str">
        <x:v>航测仿真往届练习</x:v>
      </x:c>
      <x:c r="I11" s="3" t="str">
        <x:v>了解航测处理和比赛环境，软件版本与硬件要求不能直接沿用到2026。</x:v>
      </x:c>
      <x:c r="J11" s="3" t="str">
        <x:v>免费公开</x:v>
      </x:c>
      <x:c r="K11" s="3" t="str">
        <x:v>search_result</x:v>
      </x:c>
      <x:c r="L11" s="3" t="str">
        <x:v>仅搜索结果，待核对</x:v>
      </x:c>
      <x:c r="M11" s="8" t="e">
        <x:f>HYPERLINK(N11,"打开来源")</x:f>
        <x:v>HYPERLINK is not implemented. linkLocation=https://www.csgpc.org/ueditor/php/upload/file/20250320/1742460777579016.pdf, friendlyName=打开来源</x:v>
      </x:c>
      <x:c r="N11" s="3" t="str">
        <x:v>https://www.csgpc.org/ueditor/php/upload/file/20250320/1742460777579016.pdf</x:v>
      </x:c>
      <x:c r="O11" s="3" t="str">
        <x:v>了解航测处理和比赛环境，软件版本与硬件要求不能直接沿用到2026。</x:v>
      </x:c>
      <x:c r="P11" s="9" t="n">
        <x:v>46298</x:v>
      </x:c>
    </x:row>
    <x:row r="12" ht="44" customHeight="1">
      <x:c r="A12" s="3" t="n">
        <x:v>11</x:v>
      </x:c>
      <x:c r="B12" s="3" t="str">
        <x:v>2026006</x:v>
      </x:c>
      <x:c r="C12" s="3" t="str">
        <x:v>iCAN大学生创新创业大赛</x:v>
      </x:c>
      <x:c r="D12" s="3" t="str">
        <x:v>创新与创业赛道方案、产品材料要求</x:v>
      </x:c>
      <x:c r="E12" s="3" t="str">
        <x:v>规则与模板</x:v>
      </x:c>
      <x:c r="F12" s="3" t="str">
        <x:v>iCAN组委会</x:v>
      </x:c>
      <x:c r="G12" s="3" t="str">
        <x:v>入门</x:v>
      </x:c>
      <x:c r="H12" s="3" t="str">
        <x:v>2026产品演示、原创证明和答辩</x:v>
      </x:c>
      <x:c r="I12" s="3" t="str">
        <x:v>根据具体赛道准备产品、演示视频和开发过程证明；须复核页面当前正文。</x:v>
      </x:c>
      <x:c r="J12" s="3" t="str">
        <x:v>免费公开</x:v>
      </x:c>
      <x:c r="K12" s="3" t="str">
        <x:v>search_result</x:v>
      </x:c>
      <x:c r="L12" s="3" t="str">
        <x:v>仅搜索结果，待核对</x:v>
      </x:c>
      <x:c r="M12" s="8" t="e">
        <x:f>HYPERLINK(N12,"打开来源")</x:f>
        <x:v>HYPERLINK is not implemented. linkLocation=https://www.g-ican.com/news/details?id=234, friendlyName=打开来源</x:v>
      </x:c>
      <x:c r="N12" s="3" t="str">
        <x:v>https://www.g-ican.com/news/details?id=234</x:v>
      </x:c>
      <x:c r="O12" s="3" t="str">
        <x:v>根据具体赛道准备产品、演示视频和开发过程证明；须复核页面当前正文。</x:v>
      </x:c>
      <x:c r="P12" s="9" t="n">
        <x:v>46298</x:v>
      </x:c>
    </x:row>
    <x:row r="13" ht="44" customHeight="1">
      <x:c r="A13" s="3" t="n">
        <x:v>12</x:v>
      </x:c>
      <x:c r="B13" s="3" t="str">
        <x:v>2026006</x:v>
      </x:c>
      <x:c r="C13" s="3" t="str">
        <x:v>iCAN大学生创新创业大赛</x:v>
      </x:c>
      <x:c r="D13" s="3" t="str">
        <x:v>上海赛区选拔预通知及评分说明</x:v>
      </x:c>
      <x:c r="E13" s="3" t="str">
        <x:v>课程与指南</x:v>
      </x:c>
      <x:c r="F13" s="3" t="str">
        <x:v>上海电力大学</x:v>
      </x:c>
      <x:c r="G13" s="3" t="str">
        <x:v>入门</x:v>
      </x:c>
      <x:c r="H13" s="3" t="str">
        <x:v>2026上海赛区备赛参考</x:v>
      </x:c>
      <x:c r="I13" s="3" t="str">
        <x:v>列出巡展与答辩维度，可用于检查演示效果和原创过程材料。</x:v>
      </x:c>
      <x:c r="J13" s="3" t="str">
        <x:v>免费公开</x:v>
      </x:c>
      <x:c r="K13" s="3" t="str">
        <x:v>search_result</x:v>
      </x:c>
      <x:c r="L13" s="3" t="str">
        <x:v>仅搜索结果，待核对</x:v>
      </x:c>
      <x:c r="M13" s="8" t="e">
        <x:f>HYPERLINK(N13,"打开来源")</x:f>
        <x:v>HYPERLINK is not implemented. linkLocation=https://ieetc.shiep.edu.cn/3d/a0/c6747a277920/page.htm, friendlyName=打开来源</x:v>
      </x:c>
      <x:c r="N13" s="3" t="str">
        <x:v>https://ieetc.shiep.edu.cn/3d/a0/c6747a277920/page.htm</x:v>
      </x:c>
      <x:c r="O13" s="3" t="str">
        <x:v>列出巡展与答辩维度，可用于检查演示效果和原创过程材料。</x:v>
      </x:c>
      <x:c r="P13" s="9" t="n">
        <x:v>46298</x:v>
      </x:c>
    </x:row>
    <x:row r="14" ht="44" customHeight="1">
      <x:c r="A14" s="3" t="n">
        <x:v>13</x:v>
      </x:c>
      <x:c r="B14" s="3" t="str">
        <x:v>2026007</x:v>
      </x:c>
      <x:c r="C14" s="3" t="str">
        <x:v>全国大学生创新年会</x:v>
      </x:c>
      <x:c r="D14" s="3" t="str">
        <x:v>第十九届成果准备及遴选要求</x:v>
      </x:c>
      <x:c r="E14" s="3" t="str">
        <x:v>规则与模板</x:v>
      </x:c>
      <x:c r="F14" s="3" t="str">
        <x:v>全国大学生创新年会平台</x:v>
      </x:c>
      <x:c r="G14" s="3" t="str">
        <x:v>入门</x:v>
      </x:c>
      <x:c r="H14" s="3" t="str">
        <x:v>2026论文、展板和创业项目材料</x:v>
      </x:c>
      <x:c r="I14" s="3" t="str">
        <x:v>按成果类型准备论文、展示和项目简介，避免混用材料格式。</x:v>
      </x:c>
      <x:c r="J14" s="3" t="str">
        <x:v>免费公开</x:v>
      </x:c>
      <x:c r="K14" s="3" t="str">
        <x:v>page_read</x:v>
      </x:c>
      <x:c r="L14" s="3" t="str">
        <x:v>已读来源页面</x:v>
      </x:c>
      <x:c r="M14" s="8" t="e">
        <x:f>HYPERLINK(N14,"打开来源")</x:f>
        <x:v>HYPERLINK is not implemented. linkLocation=https://www.gjcxcy.cn/PublicColumn/Notice/ea09170f-2f01-4f7f-b34d-ec11441b4779, friendlyName=打开来源</x:v>
      </x:c>
      <x:c r="N14" s="3" t="str">
        <x:v>https://www.gjcxcy.cn/PublicColumn/Notice/ea09170f-2f01-4f7f-b34d-ec11441b4779</x:v>
      </x:c>
      <x:c r="O14" s="3" t="str">
        <x:v>按成果类型准备论文、展示和项目简介，避免混用材料格式。</x:v>
      </x:c>
      <x:c r="P14" s="9" t="n">
        <x:v>46298</x:v>
      </x:c>
    </x:row>
    <x:row r="15" ht="44" customHeight="1">
      <x:c r="A15" s="3" t="n">
        <x:v>14</x:v>
      </x:c>
      <x:c r="B15" s="3" t="str">
        <x:v>2026007</x:v>
      </x:c>
      <x:c r="C15" s="3" t="str">
        <x:v>全国大学生创新年会</x:v>
      </x:c>
      <x:c r="D15" s="3" t="str">
        <x:v>往届作品展示</x:v>
      </x:c>
      <x:c r="E15" s="3" t="str">
        <x:v>作品案例</x:v>
      </x:c>
      <x:c r="F15" s="3" t="str">
        <x:v>全国大学生创新年会平台</x:v>
      </x:c>
      <x:c r="G15" s="3" t="str">
        <x:v>入门</x:v>
      </x:c>
      <x:c r="H15" s="3" t="str">
        <x:v>选题表达与成果呈现参考</x:v>
      </x:c>
      <x:c r="I15" s="3" t="str">
        <x:v>按年度查看已入选成果，学习研究问题和成果的组织方式。</x:v>
      </x:c>
      <x:c r="J15" s="3" t="str">
        <x:v>免费公开</x:v>
      </x:c>
      <x:c r="K15" s="3" t="str">
        <x:v>official_index</x:v>
      </x:c>
      <x:c r="L15" s="3" t="str">
        <x:v>已确认索引或入口</x:v>
      </x:c>
      <x:c r="M15" s="8" t="e">
        <x:f>HYPERLINK(N15,"打开来源")</x:f>
        <x:v>HYPERLINK is not implemented. linkLocation=https://www.gjcxcy.cn/Index/ZPZS, friendlyName=打开来源</x:v>
      </x:c>
      <x:c r="N15" s="3" t="str">
        <x:v>https://www.gjcxcy.cn/Index/ZPZS</x:v>
      </x:c>
      <x:c r="O15" s="3" t="str">
        <x:v>按年度查看已入选成果，学习研究问题和成果的组织方式。</x:v>
      </x:c>
      <x:c r="P15" s="9" t="n">
        <x:v>46298</x:v>
      </x:c>
    </x:row>
    <x:row r="16" ht="50" customHeight="1">
      <x:c r="A16" s="3" t="n">
        <x:v>15</x:v>
      </x:c>
      <x:c r="B16" s="3" t="str">
        <x:v>2026008</x:v>
      </x:c>
      <x:c r="C16" s="3" t="str">
        <x:v>全国大学生工程实践与创新能力大赛（2026）</x:v>
      </x:c>
      <x:c r="D16" s="3" t="str">
        <x:v>智能+工程创新赛道命题与运行</x:v>
      </x:c>
      <x:c r="E16" s="3" t="str">
        <x:v>赛题</x:v>
      </x:c>
      <x:c r="F16" s="3" t="str">
        <x:v>西安交通大学转载组委会资料</x:v>
      </x:c>
      <x:c r="G16" s="3" t="str">
        <x:v>入门</x:v>
      </x:c>
      <x:c r="H16" s="3" t="str">
        <x:v>2027智能搬运、分拣、救援备赛</x:v>
      </x:c>
      <x:c r="I16" s="3" t="str">
        <x:v>依据任务定义搭建方案；该地址进入附件下载页，PDF内容尚未逐页读取。</x:v>
      </x:c>
      <x:c r="J16" s="3" t="str">
        <x:v>免费公开</x:v>
      </x:c>
      <x:c r="K16" s="3" t="str">
        <x:v>official_index</x:v>
      </x:c>
      <x:c r="L16" s="3" t="str">
        <x:v>已确认索引或入口</x:v>
      </x:c>
      <x:c r="M16" s="8" t="e">
        <x:f>HYPERLINK(N16,"打开来源")</x:f>
        <x:v>HYPERLINK is not implemented. linkLocation=https://pec.xjtu.edu.cn/system/_content/download.jsp?owner=1723267192&amp;urltype=news.DownloadAttachUrl&amp;wbfileid=18138275, friendlyName=打开来源</x:v>
      </x:c>
      <x:c r="N16" s="3" t="str">
        <x:v>https://pec.xjtu.edu.cn/system/_content/download.jsp?owner=1723267192&amp;urltype=news.DownloadAttachUrl&amp;wbfileid=18138275</x:v>
      </x:c>
      <x:c r="O16" s="3" t="str">
        <x:v>依据任务定义搭建方案；该地址进入附件下载页，PDF内容尚未逐页读取。</x:v>
      </x:c>
      <x:c r="P16" s="9" t="n">
        <x:v>46298</x:v>
      </x:c>
    </x:row>
    <x:row r="17" ht="50" customHeight="1">
      <x:c r="A17" s="3" t="n">
        <x:v>16</x:v>
      </x:c>
      <x:c r="B17" s="3" t="str">
        <x:v>2026008</x:v>
      </x:c>
      <x:c r="C17" s="3" t="str">
        <x:v>全国大学生工程实践与创新能力大赛（2026）</x:v>
      </x:c>
      <x:c r="D17" s="3" t="str">
        <x:v>智能+工程创新赛道评分与规则</x:v>
      </x:c>
      <x:c r="E17" s="3" t="str">
        <x:v>规则与模板</x:v>
      </x:c>
      <x:c r="F17" s="3" t="str">
        <x:v>西安交通大学转载组委会资料</x:v>
      </x:c>
      <x:c r="G17" s="3" t="str">
        <x:v>入门</x:v>
      </x:c>
      <x:c r="H17" s="3" t="str">
        <x:v>2027智能工程赛道</x:v>
      </x:c>
      <x:c r="I17" s="3" t="str">
        <x:v>与命题文件配套检查评分和约束；下载页中的完整附件待核读。</x:v>
      </x:c>
      <x:c r="J17" s="3" t="str">
        <x:v>免费公开</x:v>
      </x:c>
      <x:c r="K17" s="3" t="str">
        <x:v>official_index</x:v>
      </x:c>
      <x:c r="L17" s="3" t="str">
        <x:v>已确认索引或入口</x:v>
      </x:c>
      <x:c r="M17" s="8" t="e">
        <x:f>HYPERLINK(N17,"打开来源")</x:f>
        <x:v>HYPERLINK is not implemented. linkLocation=https://pec.xjtu.edu.cn/system/_content/download.jsp?owner=1723267192&amp;urltype=news.DownloadAttachUrl&amp;wbfileid=18138277, friendlyName=打开来源</x:v>
      </x:c>
      <x:c r="N17" s="3" t="str">
        <x:v>https://pec.xjtu.edu.cn/system/_content/download.jsp?owner=1723267192&amp;urltype=news.DownloadAttachUrl&amp;wbfileid=18138277</x:v>
      </x:c>
      <x:c r="O17" s="3" t="str">
        <x:v>与命题文件配套检查评分和约束；下载页中的完整附件待核读。</x:v>
      </x:c>
      <x:c r="P17" s="9" t="n">
        <x:v>46298</x:v>
      </x:c>
    </x:row>
    <x:row r="18" ht="44" customHeight="1">
      <x:c r="A18" s="3" t="n">
        <x:v>17</x:v>
      </x:c>
      <x:c r="B18" s="3" t="str">
        <x:v>2026009</x:v>
      </x:c>
      <x:c r="C18" s="3" t="str">
        <x:v>中国大学生机械工程创新创意大赛-智能制造赛</x:v>
      </x:c>
      <x:c r="D18" s="3" t="str">
        <x:v>2026智能制造赛赛项说明（文件中赛项八）</x:v>
      </x:c>
      <x:c r="E18" s="3" t="str">
        <x:v>规则与模板</x:v>
      </x:c>
      <x:c r="F18" s="3" t="str">
        <x:v>中国机械工程学会；武汉理工大学转载</x:v>
      </x:c>
      <x:c r="G18" s="3" t="str">
        <x:v>入门</x:v>
      </x:c>
      <x:c r="H18" s="3" t="str">
        <x:v>2026智能制造赛</x:v>
      </x:c>
      <x:c r="I18" s="3" t="str">
        <x:v>用于核对组别、参赛限制和任务范围；完整赛项章节待核读。</x:v>
      </x:c>
      <x:c r="J18" s="3" t="str">
        <x:v>免费公开</x:v>
      </x:c>
      <x:c r="K18" s="3" t="str">
        <x:v>search_result</x:v>
      </x:c>
      <x:c r="L18" s="3" t="str">
        <x:v>仅搜索结果，待核对</x:v>
      </x:c>
      <x:c r="M18" s="8" t="e">
        <x:f>HYPERLINK(N18,"打开来源")</x:f>
        <x:v>HYPERLINK is not implemented. linkLocation=https://stle.whut.edu.cn/bks/jxgg/202604/P020260409618326572998.pdf, friendlyName=打开来源</x:v>
      </x:c>
      <x:c r="N18" s="3" t="str">
        <x:v>https://stle.whut.edu.cn/bks/jxgg/202604/P020260409618326572998.pdf</x:v>
      </x:c>
      <x:c r="O18" s="3" t="str">
        <x:v>用于核对组别、参赛限制和任务范围；完整赛项章节待核读。</x:v>
      </x:c>
      <x:c r="P18" s="9" t="n">
        <x:v>46298</x:v>
      </x:c>
    </x:row>
    <x:row r="19" ht="44" customHeight="1">
      <x:c r="A19" s="3" t="n">
        <x:v>18</x:v>
      </x:c>
      <x:c r="B19" s="3" t="str">
        <x:v>2026009</x:v>
      </x:c>
      <x:c r="C19" s="3" t="str">
        <x:v>中国大学生机械工程创新创意大赛-智能制造赛</x:v>
      </x:c>
      <x:c r="D19" s="3" t="str">
        <x:v>MuJoCo Python官方文档</x:v>
      </x:c>
      <x:c r="E19" s="3" t="str">
        <x:v>工具</x:v>
      </x:c>
      <x:c r="F19" s="3" t="str">
        <x:v>MuJoCo项目</x:v>
      </x:c>
      <x:c r="G19" s="3" t="str">
        <x:v>入门</x:v>
      </x:c>
      <x:c r="H19" s="3" t="str">
        <x:v>智能装备与产线开发方向的仿真实践</x:v>
      </x:c>
      <x:c r="I19" s="3" t="str">
        <x:v>学习Python仿真接口和模型运行；辽宁工程技术大学赛项说明明确列出Python版MuJoCo。</x:v>
      </x:c>
      <x:c r="J19" s="3" t="str">
        <x:v>免费公开</x:v>
      </x:c>
      <x:c r="K19" s="3" t="str">
        <x:v>page_read</x:v>
      </x:c>
      <x:c r="L19" s="3" t="str">
        <x:v>已读来源页面</x:v>
      </x:c>
      <x:c r="M19" s="8" t="e">
        <x:f>HYPERLINK(N19,"打开来源")</x:f>
        <x:v>HYPERLINK is not implemented. linkLocation=https://mujoco.readthedocs.io/en/stable/python.html, friendlyName=打开来源</x:v>
      </x:c>
      <x:c r="N19" s="3" t="str">
        <x:v>https://mujoco.readthedocs.io/en/stable/python.html</x:v>
      </x:c>
      <x:c r="O19" s="3" t="str">
        <x:v>学习Python仿真接口和模型运行；辽宁工程技术大学赛项说明明确列出Python版MuJoCo。</x:v>
      </x:c>
      <x:c r="P19" s="9" t="n">
        <x:v>46298</x:v>
      </x:c>
    </x:row>
    <x:row r="20" ht="44" customHeight="1">
      <x:c r="A20" s="3" t="n">
        <x:v>19</x:v>
      </x:c>
      <x:c r="B20" s="3" t="str">
        <x:v>2026010</x:v>
      </x:c>
      <x:c r="C20" s="3" t="str">
        <x:v>“西门子杯”中国智能制造挑战赛</x:v>
      </x:c>
      <x:c r="D20" s="3" t="str">
        <x:v>分赛项资料中心</x:v>
      </x:c>
      <x:c r="E20" s="3" t="str">
        <x:v>赛题</x:v>
      </x:c>
      <x:c r="F20" s="3" t="str">
        <x:v>西门子杯组委会</x:v>
      </x:c>
      <x:c r="G20" s="3" t="str">
        <x:v>入门</x:v>
      </x:c>
      <x:c r="H20" s="3" t="str">
        <x:v>各方向选题与赛题定位</x:v>
      </x:c>
      <x:c r="I20" s="3" t="str">
        <x:v>按具体方向进入资料页，避免将不同赛项的设备和要求混用。</x:v>
      </x:c>
      <x:c r="J20" s="3" t="str">
        <x:v>免费公开</x:v>
      </x:c>
      <x:c r="K20" s="3" t="str">
        <x:v>official_index</x:v>
      </x:c>
      <x:c r="L20" s="3" t="str">
        <x:v>已确认索引或入口</x:v>
      </x:c>
      <x:c r="M20" s="8" t="e">
        <x:f>HYPERLINK(N20,"打开来源")</x:f>
        <x:v>HYPERLINK is not implemented. linkLocation=https://www.siemenscup-cimc.org.cn/project/index, friendlyName=打开来源</x:v>
      </x:c>
      <x:c r="N20" s="3" t="str">
        <x:v>https://www.siemenscup-cimc.org.cn/project/index</x:v>
      </x:c>
      <x:c r="O20" s="3" t="str">
        <x:v>按具体方向进入资料页，避免将不同赛项的设备和要求混用。</x:v>
      </x:c>
      <x:c r="P20" s="9" t="n">
        <x:v>46298</x:v>
      </x:c>
    </x:row>
    <x:row r="21" ht="44" customHeight="1">
      <x:c r="A21" s="3" t="n">
        <x:v>20</x:v>
      </x:c>
      <x:c r="B21" s="3" t="str">
        <x:v>2026010</x:v>
      </x:c>
      <x:c r="C21" s="3" t="str">
        <x:v>“西门子杯”中国智能制造挑战赛</x:v>
      </x:c>
      <x:c r="D21" s="3" t="str">
        <x:v>流程行业自动化方向资料入口</x:v>
      </x:c>
      <x:c r="E21" s="3" t="str">
        <x:v>规则与模板</x:v>
      </x:c>
      <x:c r="F21" s="3" t="str">
        <x:v>西门子杯组委会</x:v>
      </x:c>
      <x:c r="G21" s="3" t="str">
        <x:v>入门</x:v>
      </x:c>
      <x:c r="H21" s="3" t="str">
        <x:v>流程行业自动化方向</x:v>
      </x:c>
      <x:c r="I21" s="3" t="str">
        <x:v>已定位单赛项页面；具体下载内容仍需浏览器进一步展开。</x:v>
      </x:c>
      <x:c r="J21" s="3" t="str">
        <x:v>免费公开</x:v>
      </x:c>
      <x:c r="K21" s="3" t="str">
        <x:v>official_index</x:v>
      </x:c>
      <x:c r="L21" s="3" t="str">
        <x:v>已确认索引或入口</x:v>
      </x:c>
      <x:c r="M21" s="8" t="e">
        <x:f>HYPERLINK(N21,"打开来源")</x:f>
        <x:v>HYPERLINK is not implemented. linkLocation=https://www.siemenscup-cimc.org.cn/Project/PorjectResourceDetail?id=1, friendlyName=打开来源</x:v>
      </x:c>
      <x:c r="N21" s="3" t="str">
        <x:v>https://www.siemenscup-cimc.org.cn/Project/PorjectResourceDetail?id=1</x:v>
      </x:c>
      <x:c r="O21" s="3" t="str">
        <x:v>已定位单赛项页面；具体下载内容仍需浏览器进一步展开。</x:v>
      </x:c>
      <x:c r="P21" s="9" t="n">
        <x:v>46298</x:v>
      </x:c>
    </x:row>
    <x:row r="22" ht="44" customHeight="1">
      <x:c r="A22" s="3" t="n">
        <x:v>21</x:v>
      </x:c>
      <x:c r="B22" s="3" t="str">
        <x:v>2026011</x:v>
      </x:c>
      <x:c r="C22" s="3" t="str">
        <x:v>VEX机器人全国精英赛</x:v>
      </x:c>
      <x:c r="D22" s="3" t="str">
        <x:v>2026—2027 Override规则导读及VEX U章节</x:v>
      </x:c>
      <x:c r="E22" s="3" t="str">
        <x:v>规则与模板</x:v>
      </x:c>
      <x:c r="F22" s="3" t="str">
        <x:v>VEX Robotics</x:v>
      </x:c>
      <x:c r="G22" s="3" t="str">
        <x:v>入门</x:v>
      </x:c>
      <x:c r="H22" s="3" t="str">
        <x:v>下赛季VURC规则学习</x:v>
      </x:c>
      <x:c r="I22" s="3" t="str">
        <x:v>大学组重点阅读第6章；网页是补充阅读版，裁定以该页链接的正式PDF及官方问答为准。</x:v>
      </x:c>
      <x:c r="J22" s="3" t="str">
        <x:v>免费公开</x:v>
      </x:c>
      <x:c r="K22" s="3" t="str">
        <x:v>page_read</x:v>
      </x:c>
      <x:c r="L22" s="3" t="str">
        <x:v>已读来源页面</x:v>
      </x:c>
      <x:c r="M22" s="8" t="e">
        <x:f>HYPERLINK(N22,"打开来源")</x:f>
        <x:v>HYPERLINK is not implemented. linkLocation=https://www.vexrobotics.com/override-manual, friendlyName=打开来源</x:v>
      </x:c>
      <x:c r="N22" s="3" t="str">
        <x:v>https://www.vexrobotics.com/override-manual</x:v>
      </x:c>
      <x:c r="O22" s="3" t="str">
        <x:v>大学组重点阅读第6章；网页是补充阅读版，裁定以该页链接的正式PDF及官方问答为准。</x:v>
      </x:c>
      <x:c r="P22" s="9" t="n">
        <x:v>46298</x:v>
      </x:c>
    </x:row>
    <x:row r="23" ht="44" customHeight="1">
      <x:c r="A23" s="3" t="n">
        <x:v>22</x:v>
      </x:c>
      <x:c r="B23" s="3" t="str">
        <x:v>2026011</x:v>
      </x:c>
      <x:c r="C23" s="3" t="str">
        <x:v>VEX机器人全国精英赛</x:v>
      </x:c>
      <x:c r="D23" s="3" t="str">
        <x:v>VEX VR Skills编程练习入口</x:v>
      </x:c>
      <x:c r="E23" s="3" t="str">
        <x:v>工具</x:v>
      </x:c>
      <x:c r="F23" s="3" t="str">
        <x:v>VEX Robotics</x:v>
      </x:c>
      <x:c r="G23" s="3" t="str">
        <x:v>入门</x:v>
      </x:c>
      <x:c r="H23" s="3" t="str">
        <x:v>机器人编程与虚拟任务练习</x:v>
      </x:c>
      <x:c r="I23" s="3" t="str">
        <x:v>在虚拟场地练习自动运行思路；练习项目不等同于大学组正式计分比赛。</x:v>
      </x:c>
      <x:c r="J23" s="3" t="str">
        <x:v>待确认</x:v>
      </x:c>
      <x:c r="K23" s="3" t="str">
        <x:v>official_index</x:v>
      </x:c>
      <x:c r="L23" s="3" t="str">
        <x:v>已确认索引或入口</x:v>
      </x:c>
      <x:c r="M23" s="8" t="e">
        <x:f>HYPERLINK(N23,"打开来源")</x:f>
        <x:v>HYPERLINK is not implemented. linkLocation=https://www.vexrobotics.com/get-started/vex-vr-skills, friendlyName=打开来源</x:v>
      </x:c>
      <x:c r="N23" s="3" t="str">
        <x:v>https://www.vexrobotics.com/get-started/vex-vr-skills</x:v>
      </x:c>
      <x:c r="O23" s="3" t="str">
        <x:v>在虚拟场地练习自动运行思路；练习项目不等同于大学组正式计分比赛。</x:v>
      </x:c>
      <x:c r="P23" s="9" t="n">
        <x:v>46298</x:v>
      </x:c>
    </x:row>
    <x:row r="24" ht="44" customHeight="1">
      <x:c r="A24" s="3" t="n">
        <x:v>23</x:v>
      </x:c>
      <x:c r="B24" s="3" t="str">
        <x:v>2026012</x:v>
      </x:c>
      <x:c r="C24" s="3" t="str">
        <x:v>大学生新一代信息通信科技大赛</x:v>
      </x:c>
      <x:c r="D24" s="3" t="str">
        <x:v>学唐Online赛道课程与答疑平台</x:v>
      </x:c>
      <x:c r="E24" s="3" t="str">
        <x:v>课程与指南</x:v>
      </x:c>
      <x:c r="F24" s="3" t="str">
        <x:v>赛事官方学习平台</x:v>
      </x:c>
      <x:c r="G24" s="3" t="str">
        <x:v>入门</x:v>
      </x:c>
      <x:c r="H24" s="3" t="str">
        <x:v>已报名赛道学习</x:v>
      </x:c>
      <x:c r="I24" s="3" t="str">
        <x:v>官网说明报名成功后开通相应课程与答疑；不是无需账号的公开资料包。</x:v>
      </x:c>
      <x:c r="J24" s="3" t="str">
        <x:v>需登录</x:v>
      </x:c>
      <x:c r="K24" s="3" t="str">
        <x:v>official_index</x:v>
      </x:c>
      <x:c r="L24" s="3" t="str">
        <x:v>已确认索引或入口</x:v>
      </x:c>
      <x:c r="M24" s="8" t="e">
        <x:f>HYPERLINK(N24,"打开来源")</x:f>
        <x:v>HYPERLINK is not implemented. linkLocation=https://dtmobile.yunxuetang.cn/login.html, friendlyName=打开来源</x:v>
      </x:c>
      <x:c r="N24" s="3" t="str">
        <x:v>https://dtmobile.yunxuetang.cn/login.html</x:v>
      </x:c>
      <x:c r="O24" s="3" t="str">
        <x:v>官网说明报名成功后开通相应课程与答疑；不是无需账号的公开资料包。</x:v>
      </x:c>
      <x:c r="P24" s="9" t="n">
        <x:v>46298</x:v>
      </x:c>
    </x:row>
    <x:row r="25" ht="44" customHeight="1">
      <x:c r="A25" s="3" t="n">
        <x:v>24</x:v>
      </x:c>
      <x:c r="B25" s="3" t="str">
        <x:v>2026012</x:v>
      </x:c>
      <x:c r="C25" s="3" t="str">
        <x:v>大学生新一代信息通信科技大赛</x:v>
      </x:c>
      <x:c r="D25" s="3" t="str">
        <x:v>信科赛五周备赛规划</x:v>
      </x:c>
      <x:c r="E25" s="3" t="str">
        <x:v>课程与指南</x:v>
      </x:c>
      <x:c r="F25" s="3" t="str">
        <x:v>开封职业学院</x:v>
      </x:c>
      <x:c r="G25" s="3" t="str">
        <x:v>入门</x:v>
      </x:c>
      <x:c r="H25" s="3" t="str">
        <x:v>通信基础复习安排参考</x:v>
      </x:c>
      <x:c r="I25" s="3" t="str">
        <x:v>公开页面列出分模块复习和测验计划；该校学习通真题与课程不视为公共资源。</x:v>
      </x:c>
      <x:c r="J25" s="3" t="str">
        <x:v>免费公开</x:v>
      </x:c>
      <x:c r="K25" s="3" t="str">
        <x:v>page_read</x:v>
      </x:c>
      <x:c r="L25" s="3" t="str">
        <x:v>已读来源页面</x:v>
      </x:c>
      <x:c r="M25" s="8" t="e">
        <x:f>HYPERLINK(N25,"打开来源")</x:f>
        <x:v>HYPERLINK is not implemented. linkLocation=https://xxgcxy.kfvc.edu.cn/2026/0107/c206a8320/pagem.htm, friendlyName=打开来源</x:v>
      </x:c>
      <x:c r="N25" s="3" t="str">
        <x:v>https://xxgcxy.kfvc.edu.cn/2026/0107/c206a8320/pagem.htm</x:v>
      </x:c>
      <x:c r="O25" s="3" t="str">
        <x:v>公开页面列出分模块复习和测验计划；该校学习通真题与课程不视为公共资源。</x:v>
      </x:c>
      <x:c r="P25" s="9" t="n">
        <x:v>46298</x:v>
      </x:c>
    </x:row>
    <x:row r="26" ht="44" customHeight="1">
      <x:c r="A26" s="3" t="n">
        <x:v>25</x:v>
      </x:c>
      <x:c r="B26" s="3" t="str">
        <x:v>2026013</x:v>
      </x:c>
      <x:c r="C26" s="3" t="str">
        <x:v>国际大学生智能农业装备创新大赛</x:v>
      </x:c>
      <x:c r="D26" s="3" t="str">
        <x:v>第十二届作品申报书及ACD评审规则（附件3、5）</x:v>
      </x:c>
      <x:c r="E26" s="3" t="str">
        <x:v>规则与模板</x:v>
      </x:c>
      <x:c r="F26" s="3" t="str">
        <x:v>大赛委员会</x:v>
      </x:c>
      <x:c r="G26" s="3" t="str">
        <x:v>入门</x:v>
      </x:c>
      <x:c r="H26" s="3" t="str">
        <x:v>第十二届创意、行业、概念类材料</x:v>
      </x:c>
      <x:c r="I26" s="3" t="str">
        <x:v>用于规划技术报告与作品展示；附件RAR尚未下载展开。</x:v>
      </x:c>
      <x:c r="J26" s="3" t="str">
        <x:v>免费公开</x:v>
      </x:c>
      <x:c r="K26" s="3" t="str">
        <x:v>search_result</x:v>
      </x:c>
      <x:c r="L26" s="3" t="str">
        <x:v>仅搜索结果，待核对</x:v>
      </x:c>
      <x:c r="M26" s="8" t="e">
        <x:f>HYPERLINK(N26,"打开来源")</x:f>
        <x:v>HYPERLINK is not implemented. linkLocation=https://uiaec.ujs.edu.cn/news_show.php?id=234, friendlyName=打开来源</x:v>
      </x:c>
      <x:c r="N26" s="3" t="str">
        <x:v>https://uiaec.ujs.edu.cn/news_show.php?id=234</x:v>
      </x:c>
      <x:c r="O26" s="3" t="str">
        <x:v>用于规划技术报告与作品展示；附件RAR尚未下载展开。</x:v>
      </x:c>
      <x:c r="P26" s="9" t="n">
        <x:v>46298</x:v>
      </x:c>
    </x:row>
    <x:row r="27" ht="44" customHeight="1">
      <x:c r="A27" s="3" t="n">
        <x:v>26</x:v>
      </x:c>
      <x:c r="B27" s="3" t="str">
        <x:v>2026013</x:v>
      </x:c>
      <x:c r="C27" s="3" t="str">
        <x:v>国际大学生智能农业装备创新大赛</x:v>
      </x:c>
      <x:c r="D27" s="3" t="str">
        <x:v>第十二届B类主题与比赛规则（附件6）</x:v>
      </x:c>
      <x:c r="E27" s="3" t="str">
        <x:v>赛题</x:v>
      </x:c>
      <x:c r="F27" s="3" t="str">
        <x:v>大赛委员会</x:v>
      </x:c>
      <x:c r="G27" s="3" t="str">
        <x:v>入门</x:v>
      </x:c>
      <x:c r="H27" s="3" t="str">
        <x:v>第十二届农业机器人竞技类</x:v>
      </x:c>
      <x:c r="I27" s="3" t="str">
        <x:v>需要按竞技任务和设备约束设计，不能使用ACD类问辩要求替代。</x:v>
      </x:c>
      <x:c r="J27" s="3" t="str">
        <x:v>免费公开</x:v>
      </x:c>
      <x:c r="K27" s="3" t="str">
        <x:v>search_result</x:v>
      </x:c>
      <x:c r="L27" s="3" t="str">
        <x:v>仅搜索结果，待核对</x:v>
      </x:c>
      <x:c r="M27" s="8" t="e">
        <x:f>HYPERLINK(N27,"打开来源")</x:f>
        <x:v>HYPERLINK is not implemented. linkLocation=https://uiaec.ujs.edu.cn/news_show.php?id=234, friendlyName=打开来源</x:v>
      </x:c>
      <x:c r="N27" s="3" t="str">
        <x:v>https://uiaec.ujs.edu.cn/news_show.php?id=234</x:v>
      </x:c>
      <x:c r="O27" s="3" t="str">
        <x:v>需要按竞技任务和设备约束设计，不能使用ACD类问辩要求替代。</x:v>
      </x:c>
      <x:c r="P27" s="9" t="n">
        <x:v>46298</x:v>
      </x:c>
    </x:row>
    <x:row r="28" ht="44" customHeight="1">
      <x:c r="A28" s="3" t="n">
        <x:v>27</x:v>
      </x:c>
      <x:c r="B28" s="3" t="str">
        <x:v>2026014</x:v>
      </x:c>
      <x:c r="C28" s="3" t="str">
        <x:v>华为ICT大赛</x:v>
      </x:c>
      <x:c r="D28" s="3" t="str">
        <x:v>华为ICT大赛2025—2026手册</x:v>
      </x:c>
      <x:c r="E28" s="3" t="str">
        <x:v>规则与模板</x:v>
      </x:c>
      <x:c r="F28" s="3" t="str">
        <x:v>华为</x:v>
      </x:c>
      <x:c r="G28" s="3" t="str">
        <x:v>入门</x:v>
      </x:c>
      <x:c r="H28" s="3" t="str">
        <x:v>第十届赛道与参赛机制</x:v>
      </x:c>
      <x:c r="I28" s="3" t="str">
        <x:v>官方提供2025年12月16日更新版手册下载；本次未完整解析PDF。</x:v>
      </x:c>
      <x:c r="J28" s="3" t="str">
        <x:v>免费公开</x:v>
      </x:c>
      <x:c r="K28" s="3" t="str">
        <x:v>official_index</x:v>
      </x:c>
      <x:c r="L28" s="3" t="str">
        <x:v>已确认索引或入口</x:v>
      </x:c>
      <x:c r="M28" s="8" t="e">
        <x:f>HYPERLINK(N28,"打开来源")</x:f>
        <x:v>HYPERLINK is not implemented. linkLocation=https://e.huawei.com/cn/documents/others/212464e4d94143deaad4b1ee7f9dc55f, friendlyName=打开来源</x:v>
      </x:c>
      <x:c r="N28" s="3" t="str">
        <x:v>https://e.huawei.com/cn/documents/others/212464e4d94143deaad4b1ee7f9dc55f</x:v>
      </x:c>
      <x:c r="O28" s="3" t="str">
        <x:v>官方提供2025年12月16日更新版手册下载；本次未完整解析PDF。</x:v>
      </x:c>
      <x:c r="P28" s="9" t="n">
        <x:v>46298</x:v>
      </x:c>
    </x:row>
    <x:row r="29" ht="78" customHeight="1">
      <x:c r="A29" s="3" t="n">
        <x:v>28</x:v>
      </x:c>
      <x:c r="B29" s="3" t="str">
        <x:v>2026014</x:v>
      </x:c>
      <x:c r="C29" s="3" t="str">
        <x:v>华为ICT大赛</x:v>
      </x:c>
      <x:c r="D29" s="3" t="str">
        <x:v>网络赛道学习空间（中国区）</x:v>
      </x:c>
      <x:c r="E29" s="3" t="str">
        <x:v>课程与指南</x:v>
      </x:c>
      <x:c r="F29" s="3" t="str">
        <x:v>华为人才在线</x:v>
      </x:c>
      <x:c r="G29" s="3" t="str">
        <x:v>入门</x:v>
      </x:c>
      <x:c r="H29" s="3" t="str">
        <x:v>网络赛道知识与备赛练习</x:v>
      </x:c>
      <x:c r="I29" s="3" t="str">
        <x:v>已找到具体课程入口；动态内容和课程权限需登录后核对。</x:v>
      </x:c>
      <x:c r="J29" s="3" t="str">
        <x:v>需登录</x:v>
      </x:c>
      <x:c r="K29" s="3" t="str">
        <x:v>search_result</x:v>
      </x:c>
      <x:c r="L29" s="3" t="str">
        <x:v>仅搜索结果，待核对</x:v>
      </x:c>
      <x:c r="M29" s="8" t="e">
        <x:f>HYPERLINK(N29,"打开来源")</x:f>
        <x:v>HYPERLINK is not implemented. linkLocation=https://talent.shixizhi.huawei.com/course/1365189427395223554/application-learn?appId=554759065222434816&amp;classId=554759065222434817&amp;courseId=1680760185478529026&amp;courseType=1&amp;id=554759065239212032&amp;status=published&amp;sxz-lang=zh_CN, friendlyName=打开来源</x:v>
      </x:c>
      <x:c r="N29" s="3" t="str">
        <x:v>https://talent.shixizhi.huawei.com/course/1365189427395223554/application-learn?appId=554759065222434816&amp;classId=554759065222434817&amp;courseId=1680760185478529026&amp;courseType=1&amp;id=554759065239212032&amp;status=published&amp;sxz-lang=zh_CN</x:v>
      </x:c>
      <x:c r="O29" s="3" t="str">
        <x:v>已找到具体课程入口；动态内容和课程权限需登录后核对。</x:v>
      </x:c>
      <x:c r="P29" s="9" t="n">
        <x:v>46298</x:v>
      </x:c>
    </x:row>
    <x:row r="30" ht="44" customHeight="1">
      <x:c r="A30" s="3" t="n">
        <x:v>29</x:v>
      </x:c>
      <x:c r="B30" s="3" t="str">
        <x:v>2026015</x:v>
      </x:c>
      <x:c r="C30" s="3" t="str">
        <x:v>全国大学生电子设计竞赛</x:v>
      </x:c>
      <x:c r="D30" s="3" t="str">
        <x:v>历年赛题集合</x:v>
      </x:c>
      <x:c r="E30" s="3" t="str">
        <x:v>赛题</x:v>
      </x:c>
      <x:c r="F30" s="3" t="str">
        <x:v>全国大学生电子设计竞赛培训网</x:v>
      </x:c>
      <x:c r="G30" s="3" t="str">
        <x:v>入门</x:v>
      </x:c>
      <x:c r="H30" s="3" t="str">
        <x:v>按年度与题型练习</x:v>
      </x:c>
      <x:c r="I30" s="3" t="str">
        <x:v>查阅原始赛题，按测量、控制、电源等技术方向练习；当前直读502。</x:v>
      </x:c>
      <x:c r="J30" s="3" t="str">
        <x:v>免费公开</x:v>
      </x:c>
      <x:c r="K30" s="3" t="str">
        <x:v>search_result</x:v>
      </x:c>
      <x:c r="L30" s="3" t="str">
        <x:v>仅搜索结果，待核对</x:v>
      </x:c>
      <x:c r="M30" s="8" t="e">
        <x:f>HYPERLINK(N30,"打开来源")</x:f>
        <x:v>HYPERLINK is not implemented. linkLocation=https://www.nuedc-training.com.cn/index/news/index/id/8, friendlyName=打开来源</x:v>
      </x:c>
      <x:c r="N30" s="3" t="str">
        <x:v>https://www.nuedc-training.com.cn/index/news/index/id/8</x:v>
      </x:c>
      <x:c r="O30" s="3" t="str">
        <x:v>查阅原始赛题，按测量、控制、电源等技术方向练习；当前直读502。</x:v>
      </x:c>
      <x:c r="P30" s="9" t="n">
        <x:v>46298</x:v>
      </x:c>
    </x:row>
    <x:row r="31" ht="44" customHeight="1">
      <x:c r="A31" s="3" t="n">
        <x:v>30</x:v>
      </x:c>
      <x:c r="B31" s="3" t="str">
        <x:v>2026015</x:v>
      </x:c>
      <x:c r="C31" s="3" t="str">
        <x:v>全国大学生电子设计竞赛</x:v>
      </x:c>
      <x:c r="D31" s="3" t="str">
        <x:v>MSPM0 MCU创新实践系列</x:v>
      </x:c>
      <x:c r="E31" s="3" t="str">
        <x:v>课程与指南</x:v>
      </x:c>
      <x:c r="F31" s="3" t="str">
        <x:v>全国大学生电子设计竞赛培训网</x:v>
      </x:c>
      <x:c r="G31" s="3" t="str">
        <x:v>入门</x:v>
      </x:c>
      <x:c r="H31" s="3" t="str">
        <x:v>MCU外设、实验程序与文档训练</x:v>
      </x:c>
      <x:c r="I31" s="3" t="str">
        <x:v>2024训练活动资料，可作基础练习；活动领取与提交期限不作为当前服务承诺。</x:v>
      </x:c>
      <x:c r="J31" s="3" t="str">
        <x:v>待确认</x:v>
      </x:c>
      <x:c r="K31" s="3" t="str">
        <x:v>search_result</x:v>
      </x:c>
      <x:c r="L31" s="3" t="str">
        <x:v>仅搜索结果，待核对</x:v>
      </x:c>
      <x:c r="M31" s="8" t="e">
        <x:f>HYPERLINK(N31,"打开来源")</x:f>
        <x:v>HYPERLINK is not implemented. linkLocation=https://www.nuedc-training.com.cn/index/activity/activity_detail/id/35, friendlyName=打开来源</x:v>
      </x:c>
      <x:c r="N31" s="3" t="str">
        <x:v>https://www.nuedc-training.com.cn/index/activity/activity_detail/id/35</x:v>
      </x:c>
      <x:c r="O31" s="3" t="str">
        <x:v>2024训练活动资料，可作基础练习；活动领取与提交期限不作为当前服务承诺。</x:v>
      </x:c>
      <x:c r="P31" s="9" t="n">
        <x:v>46298</x:v>
      </x:c>
    </x:row>
    <x:row r="32" ht="44" customHeight="1">
      <x:c r="A32" s="3" t="n">
        <x:v>31</x:v>
      </x:c>
      <x:c r="B32" s="3" t="str">
        <x:v>2026016</x:v>
      </x:c>
      <x:c r="C32" s="3" t="str">
        <x:v>全国大学生集成电路创新创业大赛</x:v>
      </x:c>
      <x:c r="D32" s="3" t="str">
        <x:v>第十届企业命题解析合集</x:v>
      </x:c>
      <x:c r="E32" s="3" t="str">
        <x:v>课程与指南</x:v>
      </x:c>
      <x:c r="F32" s="3" t="str">
        <x:v>集创赛组委会与命题企业</x:v>
      </x:c>
      <x:c r="G32" s="3" t="str">
        <x:v>入门</x:v>
      </x:c>
      <x:c r="H32" s="3" t="str">
        <x:v>选题、技术要点和入门路线</x:v>
      </x:c>
      <x:c r="I32" s="3" t="str">
        <x:v>官方页面说明合集涵盖技术要点和入门攻略；具体解读链接跳转公众号，尚未逐篇读完。</x:v>
      </x:c>
      <x:c r="J32" s="3" t="str">
        <x:v>免费公开</x:v>
      </x:c>
      <x:c r="K32" s="3" t="str">
        <x:v>official_index</x:v>
      </x:c>
      <x:c r="L32" s="3" t="str">
        <x:v>已确认索引或入口</x:v>
      </x:c>
      <x:c r="M32" s="8" t="e">
        <x:f>HYPERLINK(N32,"打开来源")</x:f>
        <x:v>HYPERLINK is not implemented. linkLocation=https://univ.ciciec.com/nd.jsp?fromMid=2002&amp;id=1039, friendlyName=打开来源</x:v>
      </x:c>
      <x:c r="N32" s="3" t="str">
        <x:v>https://univ.ciciec.com/nd.jsp?fromMid=2002&amp;id=1039</x:v>
      </x:c>
      <x:c r="O32" s="3" t="str">
        <x:v>官方页面说明合集涵盖技术要点和入门攻略；具体解读链接跳转公众号，尚未逐篇读完。</x:v>
      </x:c>
      <x:c r="P32" s="9" t="n">
        <x:v>46298</x:v>
      </x:c>
    </x:row>
    <x:row r="33" ht="44" customHeight="1">
      <x:c r="A33" s="3" t="n">
        <x:v>32</x:v>
      </x:c>
      <x:c r="B33" s="3" t="str">
        <x:v>2026016</x:v>
      </x:c>
      <x:c r="C33" s="3" t="str">
        <x:v>全国大学生集成电路创新创业大赛</x:v>
      </x:c>
      <x:c r="D33" s="3" t="str">
        <x:v>芯创成果方向产业课题池</x:v>
      </x:c>
      <x:c r="E33" s="3" t="str">
        <x:v>赛题</x:v>
      </x:c>
      <x:c r="F33" s="3" t="str">
        <x:v>集创赛组委会与命题企业</x:v>
      </x:c>
      <x:c r="G33" s="3" t="str">
        <x:v>入门</x:v>
      </x:c>
      <x:c r="H33" s="3" t="str">
        <x:v>集成电路测试与智能应用方向</x:v>
      </x:c>
      <x:c r="I33" s="3" t="str">
        <x:v>具体列出测试开发、诊断和参数分析等任务，可用于评估技术路线和项目范围。</x:v>
      </x:c>
      <x:c r="J33" s="3" t="str">
        <x:v>免费公开</x:v>
      </x:c>
      <x:c r="K33" s="3" t="str">
        <x:v>page_read</x:v>
      </x:c>
      <x:c r="L33" s="3" t="str">
        <x:v>已读来源页面</x:v>
      </x:c>
      <x:c r="M33" s="8" t="e">
        <x:f>HYPERLINK(N33,"打开来源")</x:f>
        <x:v>HYPERLINK is not implemented. linkLocation=https://univ.ciciec.com/nd.jsp?id=1046, friendlyName=打开来源</x:v>
      </x:c>
      <x:c r="N33" s="3" t="str">
        <x:v>https://univ.ciciec.com/nd.jsp?id=1046</x:v>
      </x:c>
      <x:c r="O33" s="3" t="str">
        <x:v>具体列出测试开发、诊断和参数分析等任务，可用于评估技术路线和项目范围。</x:v>
      </x:c>
      <x:c r="P33" s="9" t="n">
        <x:v>46298</x:v>
      </x:c>
    </x:row>
    <x:row r="34" ht="44" customHeight="1">
      <x:c r="A34" s="3" t="n">
        <x:v>33</x:v>
      </x:c>
      <x:c r="B34" s="3" t="str">
        <x:v>2026017</x:v>
      </x:c>
      <x:c r="C34" s="3" t="str">
        <x:v>全国大学生嵌入式芯片与系统设计竞赛</x:v>
      </x:c>
      <x:c r="D34" s="3" t="str">
        <x:v>2026应用赛道作品报告模板</x:v>
      </x:c>
      <x:c r="E34" s="3" t="str">
        <x:v>作品案例</x:v>
      </x:c>
      <x:c r="F34" s="3" t="str">
        <x:v>嵌入式竞赛组委会</x:v>
      </x:c>
      <x:c r="G34" s="3" t="str">
        <x:v>入门</x:v>
      </x:c>
      <x:c r="H34" s="3" t="str">
        <x:v>2026报告结构与作品材料</x:v>
      </x:c>
      <x:c r="I34" s="3" t="str">
        <x:v>下载中心列出2026年4月27日报告模板，以及6月作品上传要求和视频封面。</x:v>
      </x:c>
      <x:c r="J34" s="3" t="str">
        <x:v>免费公开</x:v>
      </x:c>
      <x:c r="K34" s="3" t="str">
        <x:v>official_index</x:v>
      </x:c>
      <x:c r="L34" s="3" t="str">
        <x:v>已确认索引或入口</x:v>
      </x:c>
      <x:c r="M34" s="8" t="e">
        <x:f>HYPERLINK(N34,"打开来源")</x:f>
        <x:v>HYPERLINK is not implemented. linkLocation=https://www.socchina.net/download, friendlyName=打开来源</x:v>
      </x:c>
      <x:c r="N34" s="3" t="str">
        <x:v>https://www.socchina.net/download</x:v>
      </x:c>
      <x:c r="O34" s="3" t="str">
        <x:v>下载中心列出2026年4月27日报告模板，以及6月作品上传要求和视频封面。</x:v>
      </x:c>
      <x:c r="P34" s="9" t="n">
        <x:v>46298</x:v>
      </x:c>
    </x:row>
    <x:row r="35" ht="44" customHeight="1">
      <x:c r="A35" s="3" t="n">
        <x:v>34</x:v>
      </x:c>
      <x:c r="B35" s="3" t="str">
        <x:v>2026017</x:v>
      </x:c>
      <x:c r="C35" s="3" t="str">
        <x:v>全国大学生嵌入式芯片与系统设计竞赛</x:v>
      </x:c>
      <x:c r="D35" s="3" t="str">
        <x:v>官方培训视频中心</x:v>
      </x:c>
      <x:c r="E35" s="3" t="str">
        <x:v>课程与指南</x:v>
      </x:c>
      <x:c r="F35" s="3" t="str">
        <x:v>嵌入式竞赛组委会</x:v>
      </x:c>
      <x:c r="G35" s="3" t="str">
        <x:v>入门</x:v>
      </x:c>
      <x:c r="H35" s="3" t="str">
        <x:v>所选芯片/平台对应培训</x:v>
      </x:c>
      <x:c r="I35" s="3" t="str">
        <x:v>已定位官方栏目；页面未返回具体视频列表，课程内容和访问权限待展开。</x:v>
      </x:c>
      <x:c r="J35" s="3" t="str">
        <x:v>待确认</x:v>
      </x:c>
      <x:c r="K35" s="3" t="str">
        <x:v>official_index</x:v>
      </x:c>
      <x:c r="L35" s="3" t="str">
        <x:v>已确认索引或入口</x:v>
      </x:c>
      <x:c r="M35" s="8" t="e">
        <x:f>HYPERLINK(N35,"打开来源")</x:f>
        <x:v>HYPERLINK is not implemented. linkLocation=https://www.socchina.net/video, friendlyName=打开来源</x:v>
      </x:c>
      <x:c r="N35" s="3" t="str">
        <x:v>https://www.socchina.net/video</x:v>
      </x:c>
      <x:c r="O35" s="3" t="str">
        <x:v>已定位官方栏目；页面未返回具体视频列表，课程内容和访问权限待展开。</x:v>
      </x:c>
      <x:c r="P35" s="9" t="n">
        <x:v>46298</x:v>
      </x:c>
    </x:row>
    <x:row r="36" ht="44" customHeight="1">
      <x:c r="A36" s="3" t="n">
        <x:v>35</x:v>
      </x:c>
      <x:c r="B36" s="3" t="str">
        <x:v>2026018</x:v>
      </x:c>
      <x:c r="C36" s="3" t="str">
        <x:v>全国大学生物联网设计竞赛</x:v>
      </x:c>
      <x:c r="D36" s="3" t="str">
        <x:v>2026赛道技术资料PDF</x:v>
      </x:c>
      <x:c r="E36" s="3" t="str">
        <x:v>赛题</x:v>
      </x:c>
      <x:c r="F36" s="3" t="str">
        <x:v>全国大学生物联网设计竞赛组委会</x:v>
      </x:c>
      <x:c r="G36" s="3" t="str">
        <x:v>入门</x:v>
      </x:c>
      <x:c r="H36" s="3" t="str">
        <x:v>2026平台与开发板资源线索</x:v>
      </x:c>
      <x:c r="I36" s="3" t="str">
        <x:v>已定位当届附件，索引包含固件和开发板支持说明；具体赛道名称及完整题目待核读。</x:v>
      </x:c>
      <x:c r="J36" s="3" t="str">
        <x:v>待确认</x:v>
      </x:c>
      <x:c r="K36" s="3" t="str">
        <x:v>search_result</x:v>
      </x:c>
      <x:c r="L36" s="3" t="str">
        <x:v>仅搜索结果，待核对</x:v>
      </x:c>
      <x:c r="M36" s="8" t="e">
        <x:f>HYPERLINK(N36,"打开来源")</x:f>
        <x:v>HYPERLINK is not implemented. linkLocation=https://iot.sjtu.edu.cn/ueditor/net/upload/file/20260403/6391082406999272364703027.pdf, friendlyName=打开来源</x:v>
      </x:c>
      <x:c r="N36" s="3" t="str">
        <x:v>https://iot.sjtu.edu.cn/ueditor/net/upload/file/20260403/6391082406999272364703027.pdf</x:v>
      </x:c>
      <x:c r="O36" s="3" t="str">
        <x:v>已定位当届附件，索引包含固件和开发板支持说明；具体赛道名称及完整题目待核读。</x:v>
      </x:c>
      <x:c r="P36" s="9" t="n">
        <x:v>46298</x:v>
      </x:c>
    </x:row>
    <x:row r="37" ht="44" customHeight="1">
      <x:c r="A37" s="3" t="n">
        <x:v>36</x:v>
      </x:c>
      <x:c r="B37" s="3" t="str">
        <x:v>2026018</x:v>
      </x:c>
      <x:c r="C37" s="3" t="str">
        <x:v>全国大学生物联网设计竞赛</x:v>
      </x:c>
      <x:c r="D37" s="3" t="str">
        <x:v>ESP-IDF中文快速入门</x:v>
      </x:c>
      <x:c r="E37" s="3" t="str">
        <x:v>工具</x:v>
      </x:c>
      <x:c r="F37" s="3" t="str">
        <x:v>乐鑫</x:v>
      </x:c>
      <x:c r="G37" s="3" t="str">
        <x:v>入门</x:v>
      </x:c>
      <x:c r="H37" s="3" t="str">
        <x:v>采用ESP32的物联网项目</x:v>
      </x:c>
      <x:c r="I37" s="3" t="str">
        <x:v>学习开发环境、编译、烧录与监视器；这是厂商通用学习资料，并非所有赛道的指定版本。</x:v>
      </x:c>
      <x:c r="J37" s="3" t="str">
        <x:v>免费公开</x:v>
      </x:c>
      <x:c r="K37" s="3" t="str">
        <x:v>page_read</x:v>
      </x:c>
      <x:c r="L37" s="3" t="str">
        <x:v>已读来源页面</x:v>
      </x:c>
      <x:c r="M37" s="8" t="e">
        <x:f>HYPERLINK(N37,"打开来源")</x:f>
        <x:v>HYPERLINK is not implemented. linkLocation=https://docs.espressif.com/projects/esp-idf/zh_CN/stable/esp32/get-started/index.html, friendlyName=打开来源</x:v>
      </x:c>
      <x:c r="N37" s="3" t="str">
        <x:v>https://docs.espressif.com/projects/esp-idf/zh_CN/stable/esp32/get-started/index.html</x:v>
      </x:c>
      <x:c r="O37" s="3" t="str">
        <x:v>学习开发环境、编译、烧录与监视器；这是厂商通用学习资料，并非所有赛道的指定版本。</x:v>
      </x:c>
      <x:c r="P37" s="9" t="n">
        <x:v>46298</x:v>
      </x:c>
    </x:row>
    <x:row r="38" ht="44" customHeight="1">
      <x:c r="A38" s="3" t="n">
        <x:v>37</x:v>
      </x:c>
      <x:c r="B38" s="3" t="str">
        <x:v>2026019</x:v>
      </x:c>
      <x:c r="C38" s="3" t="str">
        <x:v>全国大学生智能汽车竞赛</x:v>
      </x:c>
      <x:c r="D38" s="3" t="str">
        <x:v>第二十一届竞速比赛规则</x:v>
      </x:c>
      <x:c r="E38" s="3" t="str">
        <x:v>规则与模板</x:v>
      </x:c>
      <x:c r="F38" s="3" t="str">
        <x:v>卓晴；高校通知引用的规则发布页</x:v>
      </x:c>
      <x:c r="G38" s="3" t="str">
        <x:v>入门</x:v>
      </x:c>
      <x:c r="H38" s="3" t="str">
        <x:v>2026竞速组别</x:v>
      </x:c>
      <x:c r="I38" s="3" t="str">
        <x:v>上海工程技术大学及西安交通大学通知均指向此规则页；正文访问超时。</x:v>
      </x:c>
      <x:c r="J38" s="3" t="str">
        <x:v>免费公开</x:v>
      </x:c>
      <x:c r="K38" s="3" t="str">
        <x:v>official_index</x:v>
      </x:c>
      <x:c r="L38" s="3" t="str">
        <x:v>已确认索引或入口</x:v>
      </x:c>
      <x:c r="M38" s="8" t="e">
        <x:f>HYPERLINK(N38,"打开来源")</x:f>
        <x:v>HYPERLINK is not implemented. linkLocation=https://zhuoqing.blog.csdn.net/article/details/154598625, friendlyName=打开来源</x:v>
      </x:c>
      <x:c r="N38" s="3" t="str">
        <x:v>https://zhuoqing.blog.csdn.net/article/details/154598625</x:v>
      </x:c>
      <x:c r="O38" s="3" t="str">
        <x:v>上海工程技术大学及西安交通大学通知均指向此规则页；正文访问超时。</x:v>
      </x:c>
      <x:c r="P38" s="9" t="n">
        <x:v>46298</x:v>
      </x:c>
    </x:row>
    <x:row r="39" ht="44" customHeight="1">
      <x:c r="A39" s="3" t="n">
        <x:v>38</x:v>
      </x:c>
      <x:c r="B39" s="3" t="str">
        <x:v>2026019</x:v>
      </x:c>
      <x:c r="C39" s="3" t="str">
        <x:v>全国大学生智能汽车竞赛</x:v>
      </x:c>
      <x:c r="D39" s="3" t="str">
        <x:v>第二十一届室外赛规则初稿</x:v>
      </x:c>
      <x:c r="E39" s="3" t="str">
        <x:v>规则与模板</x:v>
      </x:c>
      <x:c r="F39" s="3" t="str">
        <x:v>智能车室外赛网站</x:v>
      </x:c>
      <x:c r="G39" s="3" t="str">
        <x:v>入门</x:v>
      </x:c>
      <x:c r="H39" s="3" t="str">
        <x:v>2026室外ROS无人车等赛项</x:v>
      </x:c>
      <x:c r="I39" s="3" t="str">
        <x:v>页面列出各赛项附件并注明初稿；用于了解任务方向，不能代替最终规则。</x:v>
      </x:c>
      <x:c r="J39" s="3" t="str">
        <x:v>免费公开</x:v>
      </x:c>
      <x:c r="K39" s="3" t="str">
        <x:v>search_result</x:v>
      </x:c>
      <x:c r="L39" s="3" t="str">
        <x:v>仅搜索结果，待核对</x:v>
      </x:c>
      <x:c r="M39" s="8" t="e">
        <x:f>HYPERLINK(N39,"打开来源")</x:f>
        <x:v>HYPERLINK is not implemented. linkLocation=https://www.smartcar.zone/contents/1151/1171.html, friendlyName=打开来源</x:v>
      </x:c>
      <x:c r="N39" s="3" t="str">
        <x:v>https://www.smartcar.zone/contents/1151/1171.html</x:v>
      </x:c>
      <x:c r="O39" s="3" t="str">
        <x:v>页面列出各赛项附件并注明初稿；用于了解任务方向，不能代替最终规则。</x:v>
      </x:c>
      <x:c r="P39" s="9" t="n">
        <x:v>46298</x:v>
      </x:c>
    </x:row>
    <x:row r="40" ht="78" customHeight="1">
      <x:c r="A40" s="3" t="n">
        <x:v>39</x:v>
      </x:c>
      <x:c r="B40" s="3" t="str">
        <x:v>2026020</x:v>
      </x:c>
      <x:c r="C40" s="3" t="str">
        <x:v>全球校园人工智能算法精英大赛</x:v>
      </x:c>
      <x:c r="D40" s="3" t="str">
        <x:v>AI+开源竞赛规则及作品提交要求</x:v>
      </x:c>
      <x:c r="E40" s="3" t="str">
        <x:v>规则与模板</x:v>
      </x:c>
      <x:c r="F40" s="3" t="str">
        <x:v>AIC大赛组委会</x:v>
      </x:c>
      <x:c r="G40" s="3" t="str">
        <x:v>入门</x:v>
      </x:c>
      <x:c r="H40" s="3" t="str">
        <x:v>2026AI+开源</x:v>
      </x:c>
      <x:c r="I40" s="3" t="str">
        <x:v>按官方附件检查提交物、可核验成果及资源披露。</x:v>
      </x:c>
      <x:c r="J40" s="3" t="str">
        <x:v>免费公开</x:v>
      </x:c>
      <x:c r="K40" s="3" t="str">
        <x:v>page_read</x:v>
      </x:c>
      <x:c r="L40" s="3" t="str">
        <x:v>已读来源页面</x:v>
      </x:c>
      <x:c r="M40" s="8" t="e">
        <x:f>HYPERLINK(N40,"打开来源")</x:f>
        <x:v>HYPERLINK is not implemented. linkLocation=https://www.aicomp.cn/wp-content/uploads/2026/08/%E9%99%84%E4%BB%B61_AIC%C2%B7AI%E5%BC%80%E6%BA%90%E7%AB%9E%E8%B5%9B%E8%A7%84%E5%88%99%E5%8F%8A%E4%BD%9C%E5%93%81%E6%8F%90%E4%BA%A4%E8%A6%81%E6%B1%820812.pdf, friendlyName=打开来源</x:v>
      </x:c>
      <x:c r="N40" s="3" t="str">
        <x:v>https://www.aicomp.cn/wp-content/uploads/2026/08/%E9%99%84%E4%BB%B61_AIC%C2%B7AI%E5%BC%80%E6%BA%90%E7%AB%9E%E8%B5%9B%E8%A7%84%E5%88%99%E5%8F%8A%E4%BD%9C%E5%93%81%E6%8F%90%E4%BA%A4%E8%A6%81%E6%B1%820812.pdf</x:v>
      </x:c>
      <x:c r="O40" s="3" t="str">
        <x:v>按官方附件检查提交物、可核验成果及资源披露。</x:v>
      </x:c>
      <x:c r="P40" s="9" t="n">
        <x:v>46298</x:v>
      </x:c>
    </x:row>
    <x:row r="41" ht="64" customHeight="1">
      <x:c r="A41" s="3" t="n">
        <x:v>40</x:v>
      </x:c>
      <x:c r="B41" s="3" t="str">
        <x:v>2026020</x:v>
      </x:c>
      <x:c r="C41" s="3" t="str">
        <x:v>全球校园人工智能算法精英大赛</x:v>
      </x:c>
      <x:c r="D41" s="3" t="str">
        <x:v>AI+开源技术报告参考大纲</x:v>
      </x:c>
      <x:c r="E41" s="3" t="str">
        <x:v>作品案例</x:v>
      </x:c>
      <x:c r="F41" s="3" t="str">
        <x:v>AIC大赛组委会</x:v>
      </x:c>
      <x:c r="G41" s="3" t="str">
        <x:v>入门</x:v>
      </x:c>
      <x:c r="H41" s="3" t="str">
        <x:v>2026AI+开源报告</x:v>
      </x:c>
      <x:c r="I41" s="3" t="str">
        <x:v>用官方结构组织问题、方案、实现、验证和自主工作说明。</x:v>
      </x:c>
      <x:c r="J41" s="3" t="str">
        <x:v>免费公开</x:v>
      </x:c>
      <x:c r="K41" s="3" t="str">
        <x:v>page_read</x:v>
      </x:c>
      <x:c r="L41" s="3" t="str">
        <x:v>已读来源页面</x:v>
      </x:c>
      <x:c r="M41" s="8" t="e">
        <x:f>HYPERLINK(N41,"打开来源")</x:f>
        <x:v>HYPERLINK is not implemented. linkLocation=https://www.aicomp.cn/wp-content/uploads/2026/08/%E9%99%84%E4%BB%B62_AIC%C2%B7AI%E5%BC%80%E6%BA%90%E6%8A%80%E6%9C%AF%E6%8A%A5%E5%91%8A%E5%8F%82%E8%80%83%E5%A4%A7%E7%BA%B2260812.pdf, friendlyName=打开来源</x:v>
      </x:c>
      <x:c r="N41" s="3" t="str">
        <x:v>https://www.aicomp.cn/wp-content/uploads/2026/08/%E9%99%84%E4%BB%B62_AIC%C2%B7AI%E5%BC%80%E6%BA%90%E6%8A%80%E6%9C%AF%E6%8A%A5%E5%91%8A%E5%8F%82%E8%80%83%E5%A4%A7%E7%BA%B2260812.pdf</x:v>
      </x:c>
      <x:c r="O41" s="3" t="str">
        <x:v>用官方结构组织问题、方案、实现、验证和自主工作说明。</x:v>
      </x:c>
      <x:c r="P41" s="9" t="n">
        <x:v>46298</x:v>
      </x:c>
    </x:row>
    <x:row r="42" ht="44" customHeight="1">
      <x:c r="A42" s="3" t="n">
        <x:v>41</x:v>
      </x:c>
      <x:c r="B42" s="3" t="str">
        <x:v>2026020</x:v>
      </x:c>
      <x:c r="C42" s="3" t="str">
        <x:v>全球校园人工智能算法精英大赛</x:v>
      </x:c>
      <x:c r="D42" s="3" t="str">
        <x:v>Hugging Face大模型课程中文导读</x:v>
      </x:c>
      <x:c r="E42" s="3" t="str">
        <x:v>课程与指南</x:v>
      </x:c>
      <x:c r="F42" s="3" t="str">
        <x:v>Hugging Face</x:v>
      </x:c>
      <x:c r="G42" s="3" t="str">
        <x:v>入门</x:v>
      </x:c>
      <x:c r="H42" s="3" t="str">
        <x:v>开源模型应用基础</x:v>
      </x:c>
      <x:c r="I42" s="3" t="str">
        <x:v>学习模型、数据及相关工具的基础概念；属技术学习补充，不是组委会指定教材。</x:v>
      </x:c>
      <x:c r="J42" s="3" t="str">
        <x:v>免费公开</x:v>
      </x:c>
      <x:c r="K42" s="3" t="str">
        <x:v>page_read</x:v>
      </x:c>
      <x:c r="L42" s="3" t="str">
        <x:v>已读来源页面</x:v>
      </x:c>
      <x:c r="M42" s="8" t="e">
        <x:f>HYPERLINK(N42,"打开来源")</x:f>
        <x:v>HYPERLINK is not implemented. linkLocation=https://huggingface.co/learn/llm-course/zh-CN/chapter1/1, friendlyName=打开来源</x:v>
      </x:c>
      <x:c r="N42" s="3" t="str">
        <x:v>https://huggingface.co/learn/llm-course/zh-CN/chapter1/1</x:v>
      </x:c>
      <x:c r="O42" s="3" t="str">
        <x:v>学习模型、数据及相关工具的基础概念；属技术学习补充，不是组委会指定教材。</x:v>
      </x:c>
      <x:c r="P42" s="9" t="n">
        <x:v>46298</x:v>
      </x:c>
    </x:row>
    <x:row r="43" ht="44" customHeight="1">
      <x:c r="A43" s="3" t="n">
        <x:v>42</x:v>
      </x:c>
      <x:c r="B43" s="3" t="str">
        <x:v>2026021</x:v>
      </x:c>
      <x:c r="C43" s="3" t="str">
        <x:v>睿抗机器人开发者大赛（RAICOM）</x:v>
      </x:c>
      <x:c r="D43" s="3" t="str">
        <x:v>2026AI视觉应用赛题文件入口</x:v>
      </x:c>
      <x:c r="E43" s="3" t="str">
        <x:v>赛题</x:v>
      </x:c>
      <x:c r="F43" s="3" t="str">
        <x:v>RAICOM组委会</x:v>
      </x:c>
      <x:c r="G43" s="3" t="str">
        <x:v>入门</x:v>
      </x:c>
      <x:c r="H43" s="3" t="str">
        <x:v>CAIR强体赛道AI视觉应用</x:v>
      </x:c>
      <x:c r="I43" s="3" t="str">
        <x:v>定位具体赛题约束与考核方向；附件内容仍需展开，不能当成已读规则。</x:v>
      </x:c>
      <x:c r="J43" s="3" t="str">
        <x:v>免费公开</x:v>
      </x:c>
      <x:c r="K43" s="3" t="str">
        <x:v>search_result</x:v>
      </x:c>
      <x:c r="L43" s="3" t="str">
        <x:v>仅搜索结果，待核对</x:v>
      </x:c>
      <x:c r="M43" s="8" t="e">
        <x:f>HYPERLINK(N43,"打开来源")</x:f>
        <x:v>HYPERLINK is not implemented. linkLocation=https://www.raicom.com.cn/content.html?cid=1684, friendlyName=打开来源</x:v>
      </x:c>
      <x:c r="N43" s="3" t="str">
        <x:v>https://www.raicom.com.cn/content.html?cid=1684</x:v>
      </x:c>
      <x:c r="O43" s="3" t="str">
        <x:v>定位具体赛题约束与考核方向；附件内容仍需展开，不能当成已读规则。</x:v>
      </x:c>
      <x:c r="P43" s="9" t="n">
        <x:v>46298</x:v>
      </x:c>
    </x:row>
    <x:row r="44" ht="44" customHeight="1">
      <x:c r="A44" s="3" t="n">
        <x:v>43</x:v>
      </x:c>
      <x:c r="B44" s="3" t="str">
        <x:v>2026021</x:v>
      </x:c>
      <x:c r="C44" s="3" t="str">
        <x:v>睿抗机器人开发者大赛（RAICOM）</x:v>
      </x:c>
      <x:c r="D44" s="3" t="str">
        <x:v>Hugging Face大模型课程</x:v>
      </x:c>
      <x:c r="E44" s="3" t="str">
        <x:v>课程与指南</x:v>
      </x:c>
      <x:c r="F44" s="3" t="str">
        <x:v>Hugging Face</x:v>
      </x:c>
      <x:c r="G44" s="3" t="str">
        <x:v>入门</x:v>
      </x:c>
      <x:c r="H44" s="3" t="str">
        <x:v>大模型与智能体应用赛项基础</x:v>
      </x:c>
      <x:c r="I44" s="3" t="str">
        <x:v>作为模型应用学习补充；该赛项的2026存在性由河北科技大学通知确认，课程非赛事指定。</x:v>
      </x:c>
      <x:c r="J44" s="3" t="str">
        <x:v>免费公开</x:v>
      </x:c>
      <x:c r="K44" s="3" t="str">
        <x:v>page_read</x:v>
      </x:c>
      <x:c r="L44" s="3" t="str">
        <x:v>已读来源页面</x:v>
      </x:c>
      <x:c r="M44" s="8" t="e">
        <x:f>HYPERLINK(N44,"打开来源")</x:f>
        <x:v>HYPERLINK is not implemented. linkLocation=https://huggingface.co/learn/llm-course/zh-CN/chapter1/1, friendlyName=打开来源</x:v>
      </x:c>
      <x:c r="N44" s="3" t="str">
        <x:v>https://huggingface.co/learn/llm-course/zh-CN/chapter1/1</x:v>
      </x:c>
      <x:c r="O44" s="3" t="str">
        <x:v>作为模型应用学习补充；该赛项的2026存在性由河北科技大学通知确认，课程非赛事指定。</x:v>
      </x:c>
      <x:c r="P44" s="9" t="n">
        <x:v>46298</x:v>
      </x:c>
    </x:row>
    <x:row r="45" ht="44" customHeight="1">
      <x:c r="A45" s="3" t="n">
        <x:v>44</x:v>
      </x:c>
      <x:c r="B45" s="3" t="str">
        <x:v>2026022</x:v>
      </x:c>
      <x:c r="C45" s="3" t="str">
        <x:v>中国高校智能机器人创意大赛</x:v>
      </x:c>
      <x:c r="D45" s="3" t="str">
        <x:v>家用机器人主题设计与材料要求</x:v>
      </x:c>
      <x:c r="E45" s="3" t="str">
        <x:v>规则与模板</x:v>
      </x:c>
      <x:c r="F45" s="3" t="str">
        <x:v>东北大学秦皇岛分校控制工程学院</x:v>
      </x:c>
      <x:c r="G45" s="3" t="str">
        <x:v>入门</x:v>
      </x:c>
      <x:c r="H45" s="3" t="str">
        <x:v>2026主题一</x:v>
      </x:c>
      <x:c r="I45" s="3" t="str">
        <x:v>学习创意说明、原理样机演示及AI辅助过程材料的组织方式。</x:v>
      </x:c>
      <x:c r="J45" s="3" t="str">
        <x:v>免费公开</x:v>
      </x:c>
      <x:c r="K45" s="3" t="str">
        <x:v>page_read</x:v>
      </x:c>
      <x:c r="L45" s="3" t="str">
        <x:v>已读来源页面</x:v>
      </x:c>
      <x:c r="M45" s="8" t="e">
        <x:f>HYPERLINK(N45,"打开来源")</x:f>
        <x:v>HYPERLINK is not implemented. linkLocation=https://kzgc.neuq.edu.cn/info/1081/5715.htm, friendlyName=打开来源</x:v>
      </x:c>
      <x:c r="N45" s="3" t="str">
        <x:v>https://kzgc.neuq.edu.cn/info/1081/5715.htm</x:v>
      </x:c>
      <x:c r="O45" s="3" t="str">
        <x:v>学习创意说明、原理样机演示及AI辅助过程材料的组织方式。</x:v>
      </x:c>
      <x:c r="P45" s="9" t="n">
        <x:v>46298</x:v>
      </x:c>
    </x:row>
    <x:row r="46" ht="44" customHeight="1">
      <x:c r="A46" s="3" t="n">
        <x:v>45</x:v>
      </x:c>
      <x:c r="B46" s="3" t="str">
        <x:v>2026022</x:v>
      </x:c>
      <x:c r="C46" s="3" t="str">
        <x:v>中国高校智能机器人创意大赛</x:v>
      </x:c>
      <x:c r="D46" s="3" t="str">
        <x:v>第九届作品项目申报表（附件1）</x:v>
      </x:c>
      <x:c r="E46" s="3" t="str">
        <x:v>作品案例</x:v>
      </x:c>
      <x:c r="F46" s="3" t="str">
        <x:v>东北大学秦皇岛分校转载组委会模板</x:v>
      </x:c>
      <x:c r="G46" s="3" t="str">
        <x:v>入门</x:v>
      </x:c>
      <x:c r="H46" s="3" t="str">
        <x:v>2026作品申报</x:v>
      </x:c>
      <x:c r="I46" s="3" t="str">
        <x:v>页末附件1提供DOCX模板；文件内容尚未完整读取。</x:v>
      </x:c>
      <x:c r="J46" s="3" t="str">
        <x:v>免费公开</x:v>
      </x:c>
      <x:c r="K46" s="3" t="str">
        <x:v>official_index</x:v>
      </x:c>
      <x:c r="L46" s="3" t="str">
        <x:v>已确认索引或入口</x:v>
      </x:c>
      <x:c r="M46" s="8" t="e">
        <x:f>HYPERLINK(N46,"打开来源")</x:f>
        <x:v>HYPERLINK is not implemented. linkLocation=https://kzgc.neuq.edu.cn/info/1081/5715.htm, friendlyName=打开来源</x:v>
      </x:c>
      <x:c r="N46" s="3" t="str">
        <x:v>https://kzgc.neuq.edu.cn/info/1081/5715.htm</x:v>
      </x:c>
      <x:c r="O46" s="3" t="str">
        <x:v>页末附件1提供DOCX模板；文件内容尚未完整读取。</x:v>
      </x:c>
      <x:c r="P46" s="9" t="n">
        <x:v>46298</x:v>
      </x:c>
    </x:row>
    <x:row r="47" ht="44" customHeight="1">
      <x:c r="A47" s="3" t="n">
        <x:v>46</x:v>
      </x:c>
      <x:c r="B47" s="3" t="str">
        <x:v>2026023</x:v>
      </x:c>
      <x:c r="C47" s="3" t="str">
        <x:v>中国机器人大赛暨RoboCup机器人世界杯中国赛</x:v>
      </x:c>
      <x:c r="D47" s="3" t="str">
        <x:v>2026中国机器人大赛赛区规则集合（9月11日更新）</x:v>
      </x:c>
      <x:c r="E47" s="3" t="str">
        <x:v>规则与模板</x:v>
      </x:c>
      <x:c r="F47" s="3" t="str">
        <x:v>中国自动化学会机器人竞赛与培训部</x:v>
      </x:c>
      <x:c r="G47" s="3" t="str">
        <x:v>入门</x:v>
      </x:c>
      <x:c r="H47" s="3" t="str">
        <x:v>中国机器人大赛赛区，各具体赛项</x:v>
      </x:c>
      <x:c r="I47" s="3" t="str">
        <x:v>先据赛项规则确定机器人形态、任务和测试目标。</x:v>
      </x:c>
      <x:c r="J47" s="3" t="str">
        <x:v>免费公开</x:v>
      </x:c>
      <x:c r="K47" s="3" t="str">
        <x:v>page_read</x:v>
      </x:c>
      <x:c r="L47" s="3" t="str">
        <x:v>已读来源页面</x:v>
      </x:c>
      <x:c r="M47" s="8" t="e">
        <x:f>HYPERLINK(N47,"打开来源")</x:f>
        <x:v>HYPERLINK is not implemented. linkLocation=https://rcccaa.drct-caa.org.cn/article_info.php?id=138, friendlyName=打开来源</x:v>
      </x:c>
      <x:c r="N47" s="3" t="str">
        <x:v>https://rcccaa.drct-caa.org.cn/article_info.php?id=138</x:v>
      </x:c>
      <x:c r="O47" s="3" t="str">
        <x:v>含视觉识别、自动分拣、服务、医疗、四足等赛项规则下载。</x:v>
      </x:c>
      <x:c r="P47" s="9" t="n">
        <x:v>46298</x:v>
      </x:c>
    </x:row>
    <x:row r="48" ht="44" customHeight="1">
      <x:c r="A48" s="3" t="n">
        <x:v>47</x:v>
      </x:c>
      <x:c r="B48" s="3" t="str">
        <x:v>2026023</x:v>
      </x:c>
      <x:c r="C48" s="3" t="str">
        <x:v>中国机器人大赛暨RoboCup机器人世界杯中国赛</x:v>
      </x:c>
      <x:c r="D48" s="3" t="str">
        <x:v>2026 RoboCup赛区规则集合</x:v>
      </x:c>
      <x:c r="E48" s="3" t="str">
        <x:v>规则与模板</x:v>
      </x:c>
      <x:c r="F48" s="3" t="str">
        <x:v>中国自动化学会机器人竞赛与培训部</x:v>
      </x:c>
      <x:c r="G48" s="3" t="str">
        <x:v>入门</x:v>
      </x:c>
      <x:c r="H48" s="3" t="str">
        <x:v>RoboCup足球、救援、@Home及相关赛项</x:v>
      </x:c>
      <x:c r="I48" s="3" t="str">
        <x:v>按选定赛项了解比赛环境与评价要求，避免使用其他赛区规则。</x:v>
      </x:c>
      <x:c r="J48" s="3" t="str">
        <x:v>免费公开</x:v>
      </x:c>
      <x:c r="K48" s="3" t="str">
        <x:v>page_read</x:v>
      </x:c>
      <x:c r="L48" s="3" t="str">
        <x:v>已读来源页面</x:v>
      </x:c>
      <x:c r="M48" s="8" t="e">
        <x:f>HYPERLINK(N48,"打开来源")</x:f>
        <x:v>HYPERLINK is not implemented. linkLocation=https://rcccaa.drct-caa.org.cn/article_info.php?id=113, friendlyName=打开来源</x:v>
      </x:c>
      <x:c r="N48" s="3" t="str">
        <x:v>https://rcccaa.drct-caa.org.cn/article_info.php?id=113</x:v>
      </x:c>
      <x:c r="O48" s="3" t="str">
        <x:v>页面列足球仿真2D/3D、类人、小型、救援仿真与@Home等PDF。</x:v>
      </x:c>
      <x:c r="P48" s="9" t="n">
        <x:v>46298</x:v>
      </x:c>
    </x:row>
    <x:row r="49" ht="44" customHeight="1">
      <x:c r="A49" s="3" t="n">
        <x:v>48</x:v>
      </x:c>
      <x:c r="B49" s="3" t="str">
        <x:v>2026024</x:v>
      </x:c>
      <x:c r="C49" s="3" t="str">
        <x:v>中国机器人及人工智能大赛</x:v>
      </x:c>
      <x:c r="D49" s="3" t="str">
        <x:v>第二十八届比赛规则及仲裁办法发布页</x:v>
      </x:c>
      <x:c r="E49" s="3" t="str">
        <x:v>规则与模板</x:v>
      </x:c>
      <x:c r="F49" s="3" t="str">
        <x:v>中国机器人及人工智能大赛组委会</x:v>
      </x:c>
      <x:c r="G49" s="3" t="str">
        <x:v>入门</x:v>
      </x:c>
      <x:c r="H49" s="3" t="str">
        <x:v>2026第二十八届各赛项</x:v>
      </x:c>
      <x:c r="I49" s="3" t="str">
        <x:v>取得所选赛项的正式规则和仲裁约定后再设计实现。</x:v>
      </x:c>
      <x:c r="J49" s="3" t="str">
        <x:v>待确认</x:v>
      </x:c>
      <x:c r="K49" s="3" t="str">
        <x:v>official_index</x:v>
      </x:c>
      <x:c r="L49" s="3" t="str">
        <x:v>已确认索引或入口</x:v>
      </x:c>
      <x:c r="M49" s="8" t="e">
        <x:f>HYPERLINK(N49,"打开来源")</x:f>
        <x:v>HYPERLINK is not implemented. linkLocation=https://www.caairobot.com/post/competition-rules-craic2026/, friendlyName=打开来源</x:v>
      </x:c>
      <x:c r="N49" s="3" t="str">
        <x:v>https://www.caairobot.com/post/competition-rules-craic2026/</x:v>
      </x:c>
      <x:c r="O49" s="3" t="str">
        <x:v>已读取官方发布页；规则包本体位于页面给出的百度网盘，尚未展开读取。</x:v>
      </x:c>
      <x:c r="P49" s="9" t="n">
        <x:v>46298</x:v>
      </x:c>
    </x:row>
    <x:row r="50" ht="44" customHeight="1">
      <x:c r="A50" s="3" t="n">
        <x:v>49</x:v>
      </x:c>
      <x:c r="B50" s="3" t="str">
        <x:v>2026025</x:v>
      </x:c>
      <x:c r="C50" s="3" t="str">
        <x:v>SAMPE 2026 Student Bridge Contest</x:v>
      </x:c>
      <x:c r="D50" s="3" t="str">
        <x:v>2026 Competition Rules官方入口</x:v>
      </x:c>
      <x:c r="E50" s="3" t="str">
        <x:v>规则与模板</x:v>
      </x:c>
      <x:c r="F50" s="3" t="str">
        <x:v>SAMPE North America</x:v>
      </x:c>
      <x:c r="G50" s="3" t="str">
        <x:v>入门</x:v>
      </x:c>
      <x:c r="H50" s="3" t="str">
        <x:v>SAMPE北美2026 Student Bridge</x:v>
      </x:c>
      <x:c r="I50" s="3" t="str">
        <x:v>用于确定材料类别与桥梁测试约束；不要采用钢桥赛或中国赛规则替代。</x:v>
      </x:c>
      <x:c r="J50" s="3" t="str">
        <x:v>待确认</x:v>
      </x:c>
      <x:c r="K50" s="3" t="str">
        <x:v>official_index</x:v>
      </x:c>
      <x:c r="L50" s="3" t="str">
        <x:v>已确认索引或入口</x:v>
      </x:c>
      <x:c r="M50" s="8" t="e">
        <x:f>HYPERLINK(N50,"打开来源")</x:f>
        <x:v>HYPERLINK is not implemented. linkLocation=https://www.sampeamerica.org/student-bridge-competition, friendlyName=打开来源</x:v>
      </x:c>
      <x:c r="N50" s="3" t="str">
        <x:v>https://www.sampeamerica.org/student-bridge-competition</x:v>
      </x:c>
      <x:c r="O50" s="3" t="str">
        <x:v>官方页面明确列出2026规则；本次规则附件读取失败，内容尚待补读。</x:v>
      </x:c>
      <x:c r="P50" s="9" t="n">
        <x:v>46298</x:v>
      </x:c>
    </x:row>
    <x:row r="51" ht="44" customHeight="1">
      <x:c r="A51" s="3" t="n">
        <x:v>50</x:v>
      </x:c>
      <x:c r="B51" s="3" t="str">
        <x:v>2026025</x:v>
      </x:c>
      <x:c r="C51" s="3" t="str">
        <x:v>SAMPE 2026 Student Bridge Contest</x:v>
      </x:c>
      <x:c r="D51" s="3" t="str">
        <x:v>SAMPE UW 2026桥梁设计海报</x:v>
      </x:c>
      <x:c r="E51" s="3" t="str">
        <x:v>作品案例</x:v>
      </x:c>
      <x:c r="F51" s="3" t="str">
        <x:v>University of Washington SAMPE学生分会</x:v>
      </x:c>
      <x:c r="G51" s="3" t="str">
        <x:v>进阶</x:v>
      </x:c>
      <x:c r="H51" s="3" t="str">
        <x:v>SAMPE北美桥梁赛；2026碳纤维、玻纤、天然纤维与夹层等类别</x:v>
      </x:c>
      <x:c r="I51" s="3" t="str">
        <x:v>参考真实参赛团队如何组织方案、材料类别和技术海报。</x:v>
      </x:c>
      <x:c r="J51" s="3" t="str">
        <x:v>免费公开</x:v>
      </x:c>
      <x:c r="K51" s="3" t="str">
        <x:v>page_read</x:v>
      </x:c>
      <x:c r="L51" s="3" t="str">
        <x:v>已读来源页面</x:v>
      </x:c>
      <x:c r="M51" s="8" t="e">
        <x:f>HYPERLINK(N51,"打开来源")</x:f>
        <x:v>HYPERLINK is not implemented. linkLocation=https://students.washington.edu/sampe10/projects.html, friendlyName=打开来源</x:v>
      </x:c>
      <x:c r="N51" s="3" t="str">
        <x:v>https://students.washington.edu/sampe10/projects.html</x:v>
      </x:c>
      <x:c r="O51" s="3" t="str">
        <x:v>页面列出2026八类桥梁设计海报PDF，包括I梁、箱梁、再生碳纤维与夹层结构；未宣称为获奖作品。</x:v>
      </x:c>
      <x:c r="P51" s="9" t="n">
        <x:v>46298</x:v>
      </x:c>
    </x:row>
    <x:row r="52" ht="44" customHeight="1">
      <x:c r="A52" s="3" t="n">
        <x:v>51</x:v>
      </x:c>
      <x:c r="B52" s="3" t="str">
        <x:v>2026025</x:v>
      </x:c>
      <x:c r="C52" s="3" t="str">
        <x:v>SAMPE 2026 Student Bridge Contest</x:v>
      </x:c>
      <x:c r="D52" s="3" t="str">
        <x:v>Student Contest FAQ</x:v>
      </x:c>
      <x:c r="E52" s="3" t="str">
        <x:v>规则与模板</x:v>
      </x:c>
      <x:c r="F52" s="3" t="str">
        <x:v>SAMPE North America</x:v>
      </x:c>
      <x:c r="G52" s="3" t="str">
        <x:v>入门</x:v>
      </x:c>
      <x:c r="H52" s="3" t="str">
        <x:v>SAMPE学生竞赛的通用参赛准备</x:v>
      </x:c>
      <x:c r="I52" s="3" t="str">
        <x:v>用于核对学生竞赛参与和提案相关常见问题，具体桥梁指标仍以当届规则为准。</x:v>
      </x:c>
      <x:c r="J52" s="3" t="str">
        <x:v>免费公开</x:v>
      </x:c>
      <x:c r="K52" s="3" t="str">
        <x:v>page_read</x:v>
      </x:c>
      <x:c r="L52" s="3" t="str">
        <x:v>已读来源页面</x:v>
      </x:c>
      <x:c r="M52" s="8" t="e">
        <x:f>HYPERLINK(N52,"打开来源")</x:f>
        <x:v>HYPERLINK is not implemented. linkLocation=https://www.sampeamerica.org/student-contest-faq, friendlyName=打开来源</x:v>
      </x:c>
      <x:c r="N52" s="3" t="str">
        <x:v>https://www.sampeamerica.org/student-contest-faq</x:v>
      </x:c>
      <x:c r="O52" s="3" t="str">
        <x:v>SAMPE官方学生竞赛常见问题页面。</x:v>
      </x:c>
      <x:c r="P52" s="9" t="n">
        <x:v>46298</x:v>
      </x:c>
    </x:row>
    <x:row r="53" ht="50" customHeight="1">
      <x:c r="A53" s="3" t="n">
        <x:v>52</x:v>
      </x:c>
      <x:c r="B53" s="3" t="str">
        <x:v>2026026</x:v>
      </x:c>
      <x:c r="C53" s="3" t="str">
        <x:v>第十八届SAMPE国际超轻复合材料桥梁/机翼学生竞赛</x:v>
      </x:c>
      <x:c r="D53" s="3" t="str">
        <x:v>第十七届SAMPE中国桥梁学生竞赛规则（2025历史资料）</x:v>
      </x:c>
      <x:c r="E53" s="3" t="str">
        <x:v>规则与模板</x:v>
      </x:c>
      <x:c r="F53" s="3" t="str">
        <x:v>SAMPE中国大陆总会；哈尔滨工程大学公开存档</x:v>
      </x:c>
      <x:c r="G53" s="3" t="str">
        <x:v>进阶</x:v>
      </x:c>
      <x:c r="H53" s="3" t="str">
        <x:v>中国赛桥梁组，2025历史学习；不能用于认定2026具体要求</x:v>
      </x:c>
      <x:c r="I53" s="3" t="str">
        <x:v>学习桥梁材料、几何约束、载荷测试以及技术海报应说明的内容。</x:v>
      </x:c>
      <x:c r="J53" s="3" t="str">
        <x:v>免费公开</x:v>
      </x:c>
      <x:c r="K53" s="3" t="str">
        <x:v>page_read</x:v>
      </x:c>
      <x:c r="L53" s="3" t="str">
        <x:v>已读来源页面</x:v>
      </x:c>
      <x:c r="M53" s="8" t="e">
        <x:f>HYPERLINK(N53,"打开来源")</x:f>
        <x:v>HYPERLINK is not implemented. linkLocation=https://qihang.hrbeu.edu.cn/_upload/article/files/71/58/4fd80fe947cd87d205780c8f41f2/e8d1269f-68f5-4777-9b3e-a570284bea3e.pdf, friendlyName=打开来源</x:v>
      </x:c>
      <x:c r="N53" s="3" t="str">
        <x:v>https://qihang.hrbeu.edu.cn/_upload/article/files/71/58/4fd80fe947cd87d205780c8f41f2/e8d1269f-68f5-4777-9b3e-a570284bea3e.pdf</x:v>
      </x:c>
      <x:c r="O53" s="3" t="str">
        <x:v>PDF明确说明碳纤维与天然纤维桥梁、制作约束、测试流程和海报/视频说明要求。</x:v>
      </x:c>
      <x:c r="P53" s="9" t="n">
        <x:v>46298</x:v>
      </x:c>
    </x:row>
    <x:row r="54" ht="44" customHeight="1">
      <x:c r="A54" s="3" t="n">
        <x:v>53</x:v>
      </x:c>
      <x:c r="B54" s="3" t="str">
        <x:v>2026027</x:v>
      </x:c>
      <x:c r="C54" s="3" t="str">
        <x:v>全国大学生化工设计竞赛</x:v>
      </x:c>
      <x:c r="D54" s="3" t="str">
        <x:v>2026第二十届设计任务书</x:v>
      </x:c>
      <x:c r="E54" s="3" t="str">
        <x:v>赛题</x:v>
      </x:c>
      <x:c r="F54" s="3" t="str">
        <x:v>全国大学生化工设计竞赛委员会</x:v>
      </x:c>
      <x:c r="G54" s="3" t="str">
        <x:v>入门</x:v>
      </x:c>
      <x:c r="H54" s="3" t="str">
        <x:v>2026第二十届化工设计竞赛</x:v>
      </x:c>
      <x:c r="I54" s="3" t="str">
        <x:v>明确设计题目和交付范围，是分工前的首读材料。</x:v>
      </x:c>
      <x:c r="J54" s="3" t="str">
        <x:v>免费公开</x:v>
      </x:c>
      <x:c r="K54" s="3" t="str">
        <x:v>official_index</x:v>
      </x:c>
      <x:c r="L54" s="3" t="str">
        <x:v>已确认索引或入口</x:v>
      </x:c>
      <x:c r="M54" s="8" t="e">
        <x:f>HYPERLINK(N54,"打开来源")</x:f>
        <x:v>HYPERLINK is not implemented. linkLocation=https://iche.zju.edu.cn/a/xzzx/1649.html, friendlyName=打开来源</x:v>
      </x:c>
      <x:c r="N54" s="3" t="str">
        <x:v>https://iche.zju.edu.cn/a/xzzx/1649.html</x:v>
      </x:c>
      <x:c r="O54" s="3" t="str">
        <x:v>官方任务书下载发布页，列于2026下载中心。</x:v>
      </x:c>
      <x:c r="P54" s="9" t="n">
        <x:v>46298</x:v>
      </x:c>
    </x:row>
    <x:row r="55" ht="44" customHeight="1">
      <x:c r="A55" s="3" t="n">
        <x:v>54</x:v>
      </x:c>
      <x:c r="B55" s="3" t="str">
        <x:v>2026027</x:v>
      </x:c>
      <x:c r="C55" s="3" t="str">
        <x:v>全国大学生化工设计竞赛</x:v>
      </x:c>
      <x:c r="D55" s="3" t="str">
        <x:v>工程图纸质量评分实施细则（2026）</x:v>
      </x:c>
      <x:c r="E55" s="3" t="str">
        <x:v>规则与模板</x:v>
      </x:c>
      <x:c r="F55" s="3" t="str">
        <x:v>全国大学生化工设计竞赛委员会</x:v>
      </x:c>
      <x:c r="G55" s="3" t="str">
        <x:v>进阶</x:v>
      </x:c>
      <x:c r="H55" s="3" t="str">
        <x:v>2026工程图纸部分</x:v>
      </x:c>
      <x:c r="I55" s="3" t="str">
        <x:v>用评分细则检查图纸完整性，减少只重软件建模而遗漏图纸要求。</x:v>
      </x:c>
      <x:c r="J55" s="3" t="str">
        <x:v>免费公开</x:v>
      </x:c>
      <x:c r="K55" s="3" t="str">
        <x:v>official_index</x:v>
      </x:c>
      <x:c r="L55" s="3" t="str">
        <x:v>已确认索引或入口</x:v>
      </x:c>
      <x:c r="M55" s="8" t="e">
        <x:f>HYPERLINK(N55,"打开来源")</x:f>
        <x:v>HYPERLINK is not implemented. linkLocation=https://iche.zju.edu.cn/a/xzzx/1652.html, friendlyName=打开来源</x:v>
      </x:c>
      <x:c r="N55" s="3" t="str">
        <x:v>https://iche.zju.edu.cn/a/xzzx/1652.html</x:v>
      </x:c>
      <x:c r="O55" s="3" t="str">
        <x:v>官方评分细则发布入口，2026版。</x:v>
      </x:c>
      <x:c r="P55" s="9" t="n">
        <x:v>46298</x:v>
      </x:c>
    </x:row>
    <x:row r="56" ht="44" customHeight="1">
      <x:c r="A56" s="3" t="n">
        <x:v>55</x:v>
      </x:c>
      <x:c r="B56" s="3" t="str">
        <x:v>2026027</x:v>
      </x:c>
      <x:c r="C56" s="3" t="str">
        <x:v>全国大学生化工设计竞赛</x:v>
      </x:c>
      <x:c r="D56" s="3" t="str">
        <x:v>设计文档质量评分实施细则（2026）</x:v>
      </x:c>
      <x:c r="E56" s="3" t="str">
        <x:v>规则与模板</x:v>
      </x:c>
      <x:c r="F56" s="3" t="str">
        <x:v>全国大学生化工设计竞赛委员会</x:v>
      </x:c>
      <x:c r="G56" s="3" t="str">
        <x:v>进阶</x:v>
      </x:c>
      <x:c r="H56" s="3" t="str">
        <x:v>2026设计报告与文档部分</x:v>
      </x:c>
      <x:c r="I56" s="3" t="str">
        <x:v>按正式评价维度编制设计报告。</x:v>
      </x:c>
      <x:c r="J56" s="3" t="str">
        <x:v>免费公开</x:v>
      </x:c>
      <x:c r="K56" s="3" t="str">
        <x:v>official_index</x:v>
      </x:c>
      <x:c r="L56" s="3" t="str">
        <x:v>已确认索引或入口</x:v>
      </x:c>
      <x:c r="M56" s="8" t="e">
        <x:f>HYPERLINK(N56,"打开来源")</x:f>
        <x:v>HYPERLINK is not implemented. linkLocation=https://iche.zju.edu.cn/a/xzzx/1650.html, friendlyName=打开来源</x:v>
      </x:c>
      <x:c r="N56" s="3" t="str">
        <x:v>https://iche.zju.edu.cn/a/xzzx/1650.html</x:v>
      </x:c>
      <x:c r="O56" s="3" t="str">
        <x:v>官方发布页链接2026修订文档评分细则。</x:v>
      </x:c>
      <x:c r="P56" s="9" t="n">
        <x:v>46298</x:v>
      </x:c>
    </x:row>
    <x:row r="57" ht="44" customHeight="1">
      <x:c r="A57" s="3" t="n">
        <x:v>56</x:v>
      </x:c>
      <x:c r="B57" s="3" t="str">
        <x:v>2026027</x:v>
      </x:c>
      <x:c r="C57" s="3" t="str">
        <x:v>全国大学生化工设计竞赛</x:v>
      </x:c>
      <x:c r="D57" s="3" t="str">
        <x:v>浙江大学《化工设计》课程</x:v>
      </x:c>
      <x:c r="E57" s="3" t="str">
        <x:v>课程与指南</x:v>
      </x:c>
      <x:c r="F57" s="3" t="str">
        <x:v>浙江大学／智慧树</x:v>
      </x:c>
      <x:c r="G57" s="3" t="str">
        <x:v>入门</x:v>
      </x:c>
      <x:c r="H57" s="3" t="str">
        <x:v>化工设计流程、设计文档与仿真工具学习</x:v>
      </x:c>
      <x:c r="I57" s="3" t="str">
        <x:v>为任务书对应的工厂设计与文档编制补系统知识。</x:v>
      </x:c>
      <x:c r="J57" s="3" t="str">
        <x:v>需登录</x:v>
      </x:c>
      <x:c r="K57" s="3" t="str">
        <x:v>page_read</x:v>
      </x:c>
      <x:c r="L57" s="3" t="str">
        <x:v>已读来源页面</x:v>
      </x:c>
      <x:c r="M57" s="8" t="e">
        <x:f>HYPERLINK(N57,"打开来源")</x:f>
        <x:v>HYPERLINK is not implemented. linkLocation=https://coursehome.zhihuishu.com/courseHome/1000069974, friendlyName=打开来源</x:v>
      </x:c>
      <x:c r="N57" s="3" t="str">
        <x:v>https://coursehome.zhihuishu.com/courseHome/1000069974</x:v>
      </x:c>
      <x:c r="O57" s="3" t="str">
        <x:v>赛事官网直接链接；课程介绍覆盖现代设计方法、工作程序、文档编制及化工厂设计实践。</x:v>
      </x:c>
      <x:c r="P57" s="9" t="n">
        <x:v>46298</x:v>
      </x:c>
    </x:row>
    <x:row r="58" ht="50" customHeight="1">
      <x:c r="A58" s="3" t="n">
        <x:v>57</x:v>
      </x:c>
      <x:c r="B58" s="3" t="str">
        <x:v>2026028</x:v>
      </x:c>
      <x:c r="C58" s="3" t="str">
        <x:v>全国大学生化工实验大赛</x:v>
      </x:c>
      <x:c r="D58" s="3" t="str">
        <x:v>第九届全国大学生化工实验大赛通知及参赛基本规则</x:v>
      </x:c>
      <x:c r="E58" s="3" t="str">
        <x:v>规则与模板</x:v>
      </x:c>
      <x:c r="F58" s="3" t="str">
        <x:v>中国化工教育协会；合肥工业大学存档</x:v>
      </x:c>
      <x:c r="G58" s="3" t="str">
        <x:v>入门</x:v>
      </x:c>
      <x:c r="H58" s="3" t="str">
        <x:v>2026化工实验大赛主赛</x:v>
      </x:c>
      <x:c r="I58" s="3" t="str">
        <x:v>先确认参赛资格、学校推选流程与组队条件；技术方案另行发布。</x:v>
      </x:c>
      <x:c r="J58" s="3" t="str">
        <x:v>免费公开</x:v>
      </x:c>
      <x:c r="K58" s="3" t="str">
        <x:v>page_read</x:v>
      </x:c>
      <x:c r="L58" s="3" t="str">
        <x:v>已读来源页面</x:v>
      </x:c>
      <x:c r="M58" s="8" t="e">
        <x:f>HYPERLINK(N58,"打开来源")</x:f>
        <x:v>HYPERLINK is not implemented. linkLocation=https://hgxy.hfut.edu.cn/_upload/article/files/2a/a3/90f6475b45d3a88778a739e48679/48601720-aee0-42d4-beb5-535c3023d396.pdf, friendlyName=打开来源</x:v>
      </x:c>
      <x:c r="N58" s="3" t="str">
        <x:v>https://hgxy.hfut.edu.cn/_upload/article/files/2a/a3/90f6475b45d3a88778a739e48679/48601720-aee0-42d4-beb5-535c3023d396.pdf</x:v>
      </x:c>
      <x:c r="O58" s="3" t="str">
        <x:v>协会原文件，明确具体技术方案与评分标准另行发布。</x:v>
      </x:c>
      <x:c r="P58" s="9" t="n">
        <x:v>46298</x:v>
      </x:c>
    </x:row>
    <x:row r="59" ht="44" customHeight="1">
      <x:c r="A59" s="3" t="n">
        <x:v>58</x:v>
      </x:c>
      <x:c r="B59" s="3" t="str">
        <x:v>2026028</x:v>
      </x:c>
      <x:c r="C59" s="3" t="str">
        <x:v>全国大学生化工实验大赛</x:v>
      </x:c>
      <x:c r="D59" s="3" t="str">
        <x:v>2026制药赛道第一轮通知</x:v>
      </x:c>
      <x:c r="E59" s="3" t="str">
        <x:v>规则与模板</x:v>
      </x:c>
      <x:c r="F59" s="3" t="str">
        <x:v>中国化工教育协会；天津科技大学转载</x:v>
      </x:c>
      <x:c r="G59" s="3" t="str">
        <x:v>入门</x:v>
      </x:c>
      <x:c r="H59" s="3" t="str">
        <x:v>2026新增制药赛道，仅适用于该赛道</x:v>
      </x:c>
      <x:c r="I59" s="3" t="str">
        <x:v>了解基础知识、数字模拟实验、线下操作与答辩的训练方向。</x:v>
      </x:c>
      <x:c r="J59" s="3" t="str">
        <x:v>免费公开</x:v>
      </x:c>
      <x:c r="K59" s="3" t="str">
        <x:v>page_read</x:v>
      </x:c>
      <x:c r="L59" s="3" t="str">
        <x:v>已读来源页面</x:v>
      </x:c>
      <x:c r="M59" s="8" t="e">
        <x:f>HYPERLINK(N59,"打开来源")</x:f>
        <x:v>HYPERLINK is not implemented. linkLocation=https://cxcy.tust.edu.cn/scfhzx/jsgg/5b3b176e5cd34f4cae62e1bc1f44636a.htm, friendlyName=打开来源</x:v>
      </x:c>
      <x:c r="N59" s="3" t="str">
        <x:v>https://cxcy.tust.edu.cn/scfhzx/jsgg/5b3b176e5cd34f4cae62e1bc1f44636a.htm</x:v>
      </x:c>
      <x:c r="O59" s="3" t="str">
        <x:v>公开原通知给出三阶段比赛方式及组队要求；不是主赛实验题库。</x:v>
      </x:c>
      <x:c r="P59" s="9" t="n">
        <x:v>46298</x:v>
      </x:c>
    </x:row>
    <x:row r="60" ht="44" customHeight="1">
      <x:c r="A60" s="3" t="n">
        <x:v>59</x:v>
      </x:c>
      <x:c r="B60" s="3" t="str">
        <x:v>2026029</x:v>
      </x:c>
      <x:c r="C60" s="3" t="str">
        <x:v>上海大学生化学实验竞赛暨实验创新设计竟赛</x:v>
      </x:c>
      <x:c r="D60" s="3" t="str">
        <x:v>2025—2026春学期物理化学实验讲义</x:v>
      </x:c>
      <x:c r="E60" s="3" t="str">
        <x:v>课程与指南</x:v>
      </x:c>
      <x:c r="F60" s="3" t="str">
        <x:v>上海大学化学教学实验中心</x:v>
      </x:c>
      <x:c r="G60" s="3" t="str">
        <x:v>入门</x:v>
      </x:c>
      <x:c r="H60" s="3" t="str">
        <x:v>化学实验基础训练中的物理化学部分</x:v>
      </x:c>
      <x:c r="I60" s="3" t="str">
        <x:v>用于按学校实验教学材料复习实验方法；不能据此推测竞赛出题。</x:v>
      </x:c>
      <x:c r="J60" s="3" t="str">
        <x:v>免费公开</x:v>
      </x:c>
      <x:c r="K60" s="3" t="str">
        <x:v>official_index</x:v>
      </x:c>
      <x:c r="L60" s="3" t="str">
        <x:v>已确认索引或入口</x:v>
      </x:c>
      <x:c r="M60" s="8" t="e">
        <x:f>HYPERLINK(N60,"打开来源")</x:f>
        <x:v>HYPERLINK is not implemented. linkLocation=https://chemlab.shu.edu.cn/info/1088/4032.htm, friendlyName=打开来源</x:v>
      </x:c>
      <x:c r="N60" s="3" t="str">
        <x:v>https://chemlab.shu.edu.cn/info/1088/4032.htm</x:v>
      </x:c>
      <x:c r="O60" s="3" t="str">
        <x:v>高校公开讲义下载页，2026年2月发布。</x:v>
      </x:c>
      <x:c r="P60" s="9" t="n">
        <x:v>46298</x:v>
      </x:c>
    </x:row>
    <x:row r="61" ht="44" customHeight="1">
      <x:c r="A61" s="3" t="n">
        <x:v>60</x:v>
      </x:c>
      <x:c r="B61" s="3" t="str">
        <x:v>2026029</x:v>
      </x:c>
      <x:c r="C61" s="3" t="str">
        <x:v>上海大学生化学实验竞赛暨实验创新设计竟赛</x:v>
      </x:c>
      <x:c r="D61" s="3" t="str">
        <x:v>仪器分析实验讲义（2018存档）</x:v>
      </x:c>
      <x:c r="E61" s="3" t="str">
        <x:v>课程与指南</x:v>
      </x:c>
      <x:c r="F61" s="3" t="str">
        <x:v>上海大学化学教学实验中心</x:v>
      </x:c>
      <x:c r="G61" s="3" t="str">
        <x:v>入门</x:v>
      </x:c>
      <x:c r="H61" s="3" t="str">
        <x:v>仪器分析基础；历史教学资料</x:v>
      </x:c>
      <x:c r="I61" s="3" t="str">
        <x:v>补充分析仪器实验的训练材料，使用时核对现用仪器和操作要求。</x:v>
      </x:c>
      <x:c r="J61" s="3" t="str">
        <x:v>免费公开</x:v>
      </x:c>
      <x:c r="K61" s="3" t="str">
        <x:v>official_index</x:v>
      </x:c>
      <x:c r="L61" s="3" t="str">
        <x:v>已确认索引或入口</x:v>
      </x:c>
      <x:c r="M61" s="8" t="e">
        <x:f>HYPERLINK(N61,"打开来源")</x:f>
        <x:v>HYPERLINK is not implemented. linkLocation=https://chemlab.shu.edu.cn/info/1088/1267.htm, friendlyName=打开来源</x:v>
      </x:c>
      <x:c r="N61" s="3" t="str">
        <x:v>https://chemlab.shu.edu.cn/info/1088/1267.htm</x:v>
      </x:c>
      <x:c r="O61" s="3" t="str">
        <x:v>页面列2017—2018学年仪器分析实验2及实验4的PDF讲义。</x:v>
      </x:c>
      <x:c r="P61" s="9" t="n">
        <x:v>46298</x:v>
      </x:c>
    </x:row>
    <x:row r="62" ht="44" customHeight="1">
      <x:c r="A62" s="3" t="n">
        <x:v>61</x:v>
      </x:c>
      <x:c r="B62" s="3" t="str">
        <x:v>2026030</x:v>
      </x:c>
      <x:c r="C62" s="3" t="str">
        <x:v>全国大学生能源经济学术创意大赛</x:v>
      </x:c>
      <x:c r="D62" s="3" t="str">
        <x:v>第十二届创意作品参赛要求</x:v>
      </x:c>
      <x:c r="E62" s="3" t="str">
        <x:v>规则与模板</x:v>
      </x:c>
      <x:c r="F62" s="3" t="str">
        <x:v>赛事组委会；中国石油大学转载</x:v>
      </x:c>
      <x:c r="G62" s="3" t="str">
        <x:v>入门</x:v>
      </x:c>
      <x:c r="H62" s="3" t="str">
        <x:v>第十二届创意作品竞赛</x:v>
      </x:c>
      <x:c r="I62" s="3" t="str">
        <x:v>用于明确作品类别、匿名提交等规范，先确定研究交付形式。</x:v>
      </x:c>
      <x:c r="J62" s="3" t="str">
        <x:v>免费公开</x:v>
      </x:c>
      <x:c r="K62" s="3" t="str">
        <x:v>page_read</x:v>
      </x:c>
      <x:c r="L62" s="3" t="str">
        <x:v>已读来源页面</x:v>
      </x:c>
      <x:c r="M62" s="8" t="e">
        <x:f>HYPERLINK(N62,"打开来源")</x:f>
        <x:v>HYPERLINK is not implemented. linkLocation=https://ieep.upc.edu.cn/2025/1010/c15488a473002/page.htm, friendlyName=打开来源</x:v>
      </x:c>
      <x:c r="N62" s="3" t="str">
        <x:v>https://ieep.upc.edu.cn/2025/1010/c15488a473002/page.htm</x:v>
      </x:c>
      <x:c r="O62" s="3" t="str">
        <x:v>官方原通知转载；不把校内选拔公告日期作为全国时间。</x:v>
      </x:c>
      <x:c r="P62" s="9" t="n">
        <x:v>46298</x:v>
      </x:c>
    </x:row>
    <x:row r="63" ht="44" customHeight="1">
      <x:c r="A63" s="3" t="n">
        <x:v>62</x:v>
      </x:c>
      <x:c r="B63" s="3" t="str">
        <x:v>2026030</x:v>
      </x:c>
      <x:c r="C63" s="3" t="str">
        <x:v>全国大学生能源经济学术创意大赛</x:v>
      </x:c>
      <x:c r="D63" s="3" t="str">
        <x:v>Energy Statistics Data Browser</x:v>
      </x:c>
      <x:c r="E63" s="3" t="str">
        <x:v>数据集</x:v>
      </x:c>
      <x:c r="F63" s="3" t="str">
        <x:v>国际能源署 IEA</x:v>
      </x:c>
      <x:c r="G63" s="3" t="str">
        <x:v>进阶</x:v>
      </x:c>
      <x:c r="H63" s="3" t="str">
        <x:v>能源生产、消费与结构比较类研究；自选研究题目</x:v>
      </x:c>
      <x:c r="I63" s="3" t="str">
        <x:v>提供可追溯的跨国家能源统计，支持事实核查及研究选题；不是赛事指定数据集。</x:v>
      </x:c>
      <x:c r="J63" s="3" t="str">
        <x:v>免费公开</x:v>
      </x:c>
      <x:c r="K63" s="3" t="str">
        <x:v>page_read</x:v>
      </x:c>
      <x:c r="L63" s="3" t="str">
        <x:v>已读来源页面</x:v>
      </x:c>
      <x:c r="M63" s="8" t="e">
        <x:f>HYPERLINK(N63,"打开来源")</x:f>
        <x:v>HYPERLINK is not implemented. linkLocation=https://www.iea.org/data-and-statistics/data-tools/energy-statistics-data-browser, friendlyName=打开来源</x:v>
      </x:c>
      <x:c r="N63" s="3" t="str">
        <x:v>https://www.iea.org/data-and-statistics/data-tools/energy-statistics-data-browser</x:v>
      </x:c>
      <x:c r="O63" s="3" t="str">
        <x:v>页面提供170余个国家和地区、16类能源主题的统计图表入口，标明CC BY 4.0；详细下载服务权限另核。</x:v>
      </x:c>
      <x:c r="P63" s="9" t="n">
        <x:v>46298</x:v>
      </x:c>
    </x:row>
    <x:row r="64" ht="44" customHeight="1">
      <x:c r="A64" s="3" t="n">
        <x:v>63</x:v>
      </x:c>
      <x:c r="B64" s="3" t="str">
        <x:v>2026031</x:v>
      </x:c>
      <x:c r="C64" s="3" t="str">
        <x:v>全国三维数字化创新设计大赛</x:v>
      </x:c>
      <x:c r="D64" s="3" t="str">
        <x:v>2026开放赛项报名及作品提交说明</x:v>
      </x:c>
      <x:c r="E64" s="3" t="str">
        <x:v>规则与模板</x:v>
      </x:c>
      <x:c r="F64" s="3" t="str">
        <x:v>全国3D大赛组委会</x:v>
      </x:c>
      <x:c r="G64" s="3" t="str">
        <x:v>入门</x:v>
      </x:c>
      <x:c r="H64" s="3" t="str">
        <x:v>2026开放赛项</x:v>
      </x:c>
      <x:c r="I64" s="3" t="str">
        <x:v>按要求组织设计思路、技术路线、创作过程和3D模型，减少交付遗漏。</x:v>
      </x:c>
      <x:c r="J64" s="3" t="str">
        <x:v>免费公开</x:v>
      </x:c>
      <x:c r="K64" s="3" t="str">
        <x:v>page_read</x:v>
      </x:c>
      <x:c r="L64" s="3" t="str">
        <x:v>已读来源页面</x:v>
      </x:c>
      <x:c r="M64" s="8" t="e">
        <x:f>HYPERLINK(N64,"打开来源")</x:f>
        <x:v>HYPERLINK is not implemented. linkLocation=https://3dds.3ddl.net/index.php?ctl=Informationlist&amp;id=712&amp;met=details, friendlyName=打开来源</x:v>
      </x:c>
      <x:c r="N64" s="3" t="str">
        <x:v>https://3dds.3ddl.net/index.php?ctl=Informationlist&amp;id=712&amp;met=details</x:v>
      </x:c>
      <x:c r="O64" s="3" t="str">
        <x:v>说明3DShow承载材料、模型上传与过程展示要求。</x:v>
      </x:c>
      <x:c r="P64" s="9" t="n">
        <x:v>46298</x:v>
      </x:c>
    </x:row>
    <x:row r="65" ht="44" customHeight="1">
      <x:c r="A65" s="3" t="n">
        <x:v>64</x:v>
      </x:c>
      <x:c r="B65" s="3" t="str">
        <x:v>2026031</x:v>
      </x:c>
      <x:c r="C65" s="3" t="str">
        <x:v>全国三维数字化创新设计大赛</x:v>
      </x:c>
      <x:c r="D65" s="3" t="str">
        <x:v>2026数马&amp;华教杯增减材复合制造及数字孪生赛项通知</x:v>
      </x:c>
      <x:c r="E65" s="3" t="str">
        <x:v>赛题</x:v>
      </x:c>
      <x:c r="F65" s="3" t="str">
        <x:v>全国3D大赛组委会</x:v>
      </x:c>
      <x:c r="G65" s="3" t="str">
        <x:v>进阶</x:v>
      </x:c>
      <x:c r="H65" s="3" t="str">
        <x:v>2026增减材复合制造及数字孪生赛项</x:v>
      </x:c>
      <x:c r="I65" s="3" t="str">
        <x:v>明确从三维设计到CAM、仿真验证、实物装配的任务链。</x:v>
      </x:c>
      <x:c r="J65" s="3" t="str">
        <x:v>免费公开</x:v>
      </x:c>
      <x:c r="K65" s="3" t="str">
        <x:v>page_read</x:v>
      </x:c>
      <x:c r="L65" s="3" t="str">
        <x:v>已读来源页面</x:v>
      </x:c>
      <x:c r="M65" s="8" t="e">
        <x:f>HYPERLINK(N65,"打开来源")</x:f>
        <x:v>HYPERLINK is not implemented. linkLocation=https://3dds.3ddl.net/index.php?ctl=Informationlist&amp;id=699&amp;met=details, friendlyName=打开来源</x:v>
      </x:c>
      <x:c r="N65" s="3" t="str">
        <x:v>https://3dds.3ddl.net/index.php?ctl=Informationlist&amp;id=699&amp;met=details</x:v>
      </x:c>
      <x:c r="O65" s="3" t="str">
        <x:v>具体任务涉及单桨叶水面航行器，要求模型、图纸、技术方案和相关工程文件。</x:v>
      </x:c>
      <x:c r="P65" s="9" t="n">
        <x:v>46298</x:v>
      </x:c>
    </x:row>
    <x:row r="66" ht="44" customHeight="1">
      <x:c r="A66" s="3" t="n">
        <x:v>65</x:v>
      </x:c>
      <x:c r="B66" s="3" t="str">
        <x:v>2026032</x:v>
      </x:c>
      <x:c r="C66" s="3" t="str">
        <x:v>一带一路暨金砖国家技能发展与技术创新大赛</x:v>
      </x:c>
      <x:c r="D66" s="3" t="str">
        <x:v>金砖未来科幻创作赛项技术要求及规程入口</x:v>
      </x:c>
      <x:c r="E66" s="3" t="str">
        <x:v>规则与模板</x:v>
      </x:c>
      <x:c r="F66" s="3" t="str">
        <x:v>电子科技大学数字文化与传媒研究中心／赛事组委会</x:v>
      </x:c>
      <x:c r="G66" s="3" t="str">
        <x:v>入门</x:v>
      </x:c>
      <x:c r="H66" s="3" t="str">
        <x:v>2026金砖未来科幻创作赛，尤其大学生青年创新组</x:v>
      </x:c>
      <x:c r="I66" s="3" t="str">
        <x:v>按选定组别核对主题、体裁和交付格式；青年创新与AI赛道的AI使用要求不同。</x:v>
      </x:c>
      <x:c r="J66" s="3" t="str">
        <x:v>免费公开</x:v>
      </x:c>
      <x:c r="K66" s="3" t="str">
        <x:v>page_read</x:v>
      </x:c>
      <x:c r="L66" s="3" t="str">
        <x:v>已读来源页面</x:v>
      </x:c>
      <x:c r="M66" s="8" t="e">
        <x:f>HYPERLINK(N66,"打开来源")</x:f>
        <x:v>HYPERLINK is not implemented. linkLocation=https://www.cdcm.uestc.edu.cn/info/1055/1865.htm, friendlyName=打开来源</x:v>
      </x:c>
      <x:c r="N66" s="3" t="str">
        <x:v>https://www.cdcm.uestc.edu.cn/info/1055/1865.htm</x:v>
      </x:c>
      <x:c r="O66" s="3" t="str">
        <x:v>联合承办方完整通知附技术规程，青年创新组明确原创要求，AI赛道另要求创作使用记录报告。</x:v>
      </x:c>
      <x:c r="P66" s="9" t="n">
        <x:v>46298</x:v>
      </x:c>
    </x:row>
    <x:row r="67" ht="44" customHeight="1">
      <x:c r="A67" s="3" t="n">
        <x:v>66</x:v>
      </x:c>
      <x:c r="B67" s="3" t="str">
        <x:v>2026032</x:v>
      </x:c>
      <x:c r="C67" s="3" t="str">
        <x:v>一带一路暨金砖国家技能发展与技术创新大赛</x:v>
      </x:c>
      <x:c r="D67" s="3" t="str">
        <x:v>2026俄罗斯技术创新赛项目申报资料与赛道列表入口</x:v>
      </x:c>
      <x:c r="E67" s="3" t="str">
        <x:v>规则与模板</x:v>
      </x:c>
      <x:c r="F67" s="3" t="str">
        <x:v>金砖未来研究院</x:v>
      </x:c>
      <x:c r="G67" s="3" t="str">
        <x:v>进阶</x:v>
      </x:c>
      <x:c r="H67" s="3" t="str">
        <x:v>仅2026俄罗斯技术创新国际赛</x:v>
      </x:c>
      <x:c r="I67" s="3" t="str">
        <x:v>用于识别项目申报书和技术展示材料，不作为其他金砖赛项的统一模板。</x:v>
      </x:c>
      <x:c r="J67" s="3" t="str">
        <x:v>待确认</x:v>
      </x:c>
      <x:c r="K67" s="3" t="str">
        <x:v>search_result</x:v>
      </x:c>
      <x:c r="L67" s="3" t="str">
        <x:v>仅搜索结果，待核对</x:v>
      </x:c>
      <x:c r="M67" s="8" t="e">
        <x:f>HYPERLINK(N67,"打开来源")</x:f>
        <x:v>HYPERLINK is not implemented. linkLocation=https://www.bricsfuture.org.cn/a/20-348.html, friendlyName=打开来源</x:v>
      </x:c>
      <x:c r="N67" s="3" t="str">
        <x:v>https://www.bricsfuture.org.cn/a/20-348.html</x:v>
      </x:c>
      <x:c r="O67" s="3" t="str">
        <x:v>搜索索引列赛道表、报名表和项目申报书附件；附件与网页未成功直读。</x:v>
      </x:c>
      <x:c r="P67" s="9" t="n">
        <x:v>46298</x:v>
      </x:c>
    </x:row>
    <x:row r="68" ht="44" customHeight="1">
      <x:c r="A68" s="3" t="n">
        <x:v>67</x:v>
      </x:c>
      <x:c r="B68" s="3" t="str">
        <x:v>2026033</x:v>
      </x:c>
      <x:c r="C68" s="3" t="str">
        <x:v>第二十五届全国大学生机器人大赛ROBOMASTER</x:v>
      </x:c>
      <x:c r="D68" s="3" t="str">
        <x:v>RoboMaster规则／资料中心</x:v>
      </x:c>
      <x:c r="E68" s="3" t="str">
        <x:v>规则与模板</x:v>
      </x:c>
      <x:c r="F68" s="3" t="str">
        <x:v>RoboMaster组委会</x:v>
      </x:c>
      <x:c r="G68" s="3" t="str">
        <x:v>入门</x:v>
      </x:c>
      <x:c r="H68" s="3" t="str">
        <x:v>选定赛季及高校赛类别后使用</x:v>
      </x:c>
      <x:c r="I68" s="3" t="str">
        <x:v>集中找比赛手册、机器人制作规范、通信协议和技术评审文件。</x:v>
      </x:c>
      <x:c r="J68" s="3" t="str">
        <x:v>免费公开</x:v>
      </x:c>
      <x:c r="K68" s="3" t="str">
        <x:v>official_index</x:v>
      </x:c>
      <x:c r="L68" s="3" t="str">
        <x:v>已确认索引或入口</x:v>
      </x:c>
      <x:c r="M68" s="8" t="e">
        <x:f>HYPERLINK(N68,"打开来源")</x:f>
        <x:v>HYPERLINK is not implemented. linkLocation=https://bbs.robomaster.com/wiki/20204847, friendlyName=打开来源</x:v>
      </x:c>
      <x:c r="N68" s="3" t="str">
        <x:v>https://bbs.robomaster.com/wiki/20204847</x:v>
      </x:c>
      <x:c r="O68" s="3" t="str">
        <x:v>官方资料中心分类已读；具体文件版本须在对应栏目核对。</x:v>
      </x:c>
      <x:c r="P68" s="9" t="n">
        <x:v>46298</x:v>
      </x:c>
    </x:row>
    <x:row r="69" ht="44" customHeight="1">
      <x:c r="A69" s="3" t="n">
        <x:v>68</x:v>
      </x:c>
      <x:c r="B69" s="3" t="str">
        <x:v>2026033</x:v>
      </x:c>
      <x:c r="C69" s="3" t="str">
        <x:v>第二十五届全国大学生机器人大赛ROBOMASTER</x:v>
      </x:c>
      <x:c r="D69" s="3" t="str">
        <x:v>RoboMaster开发板C型例程与教程</x:v>
      </x:c>
      <x:c r="E69" s="3" t="str">
        <x:v>代码</x:v>
      </x:c>
      <x:c r="F69" s="3" t="str">
        <x:v>RoboMaster官方GitHub组织</x:v>
      </x:c>
      <x:c r="G69" s="3" t="str">
        <x:v>入门</x:v>
      </x:c>
      <x:c r="H69" s="3" t="str">
        <x:v>使用RoboMaster开发板C型的嵌入式基础学习</x:v>
      </x:c>
      <x:c r="I69" s="3" t="str">
        <x:v>用配套例程练习硬件驱动与电控开发，建立能运行的实验工程。</x:v>
      </x:c>
      <x:c r="J69" s="3" t="str">
        <x:v>免费公开</x:v>
      </x:c>
      <x:c r="K69" s="3" t="str">
        <x:v>page_read</x:v>
      </x:c>
      <x:c r="L69" s="3" t="str">
        <x:v>已读来源页面</x:v>
      </x:c>
      <x:c r="M69" s="8" t="e">
        <x:f>HYPERLINK(N69,"打开来源")</x:f>
        <x:v>HYPERLINK is not implemented. linkLocation=https://github.com/RoboMaster/Development-Board-C-Examples, friendlyName=打开来源</x:v>
      </x:c>
      <x:c r="N69" s="3" t="str">
        <x:v>https://github.com/RoboMaster/Development-Board-C-Examples</x:v>
      </x:c>
      <x:c r="O69" s="3" t="str">
        <x:v>官方仓库含嵌入式软件教程PDF和例程；是既有硬件资料，不等同2026完整参赛程序。</x:v>
      </x:c>
      <x:c r="P69" s="9" t="n">
        <x:v>46298</x:v>
      </x:c>
    </x:row>
    <x:row r="70" ht="44" customHeight="1">
      <x:c r="A70" s="3" t="n">
        <x:v>69</x:v>
      </x:c>
      <x:c r="B70" s="3" t="str">
        <x:v>2026033</x:v>
      </x:c>
      <x:c r="C70" s="3" t="str">
        <x:v>第二十五届全国大学生机器人大赛ROBOMASTER</x:v>
      </x:c>
      <x:c r="D70" s="3" t="str">
        <x:v>RoboMaster赛事培训体系</x:v>
      </x:c>
      <x:c r="E70" s="3" t="str">
        <x:v>课程与指南</x:v>
      </x:c>
      <x:c r="F70" s="3" t="str">
        <x:v>RoboMaster组委会</x:v>
      </x:c>
      <x:c r="G70" s="3" t="str">
        <x:v>入门</x:v>
      </x:c>
      <x:c r="H70" s="3" t="str">
        <x:v>高校赛入门与团队知识体系建设</x:v>
      </x:c>
      <x:c r="I70" s="3" t="str">
        <x:v>先依据官方学习路线选择机械、电控或视觉学习内容。</x:v>
      </x:c>
      <x:c r="J70" s="3" t="str">
        <x:v>免费公开</x:v>
      </x:c>
      <x:c r="K70" s="3" t="str">
        <x:v>official_index</x:v>
      </x:c>
      <x:c r="L70" s="3" t="str">
        <x:v>已确认索引或入口</x:v>
      </x:c>
      <x:c r="M70" s="8" t="e">
        <x:f>HYPERLINK(N70,"打开来源")</x:f>
        <x:v>HYPERLINK is not implemented. linkLocation=https://www.robomaster.com/zh-CN/robo/training-system?djifrom=rmuc2, friendlyName=打开来源</x:v>
      </x:c>
      <x:c r="N70" s="3" t="str">
        <x:v>https://www.robomaster.com/zh-CN/robo/training-system?djifrom=rmuc2</x:v>
      </x:c>
      <x:c r="O70" s="3" t="str">
        <x:v>官方入口介绍参赛攻略、课程沙龙、开源材料；具体子课程部分动态加载。</x:v>
      </x:c>
      <x:c r="P70" s="9" t="n">
        <x:v>46298</x:v>
      </x:c>
    </x:row>
    <x:row r="71" ht="44" customHeight="1">
      <x:c r="A71" s="3" t="n">
        <x:v>70</x:v>
      </x:c>
      <x:c r="B71" s="3" t="str">
        <x:v>2026034</x:v>
      </x:c>
      <x:c r="C71" s="3" t="str">
        <x:v>第十二届全国大学生机械创新设计大赛</x:v>
      </x:c>
      <x:c r="D71" s="3" t="str">
        <x:v>第十二届常规赛参赛须知</x:v>
      </x:c>
      <x:c r="E71" s="3" t="str">
        <x:v>规则与模板</x:v>
      </x:c>
      <x:c r="F71" s="3" t="str">
        <x:v>大赛组委会／哈尔滨工业大学</x:v>
      </x:c>
      <x:c r="G71" s="3" t="str">
        <x:v>入门</x:v>
      </x:c>
      <x:c r="H71" s="3" t="str">
        <x:v>第十二届2026常规赛</x:v>
      </x:c>
      <x:c r="I71" s="3" t="str">
        <x:v>阅读设计对象、实物约束与评价要求后再确定方案。</x:v>
      </x:c>
      <x:c r="J71" s="3" t="str">
        <x:v>免费公开</x:v>
      </x:c>
      <x:c r="K71" s="3" t="str">
        <x:v>page_read</x:v>
      </x:c>
      <x:c r="L71" s="3" t="str">
        <x:v>已读来源页面</x:v>
      </x:c>
      <x:c r="M71" s="8" t="e">
        <x:f>HYPERLINK(N71,"打开来源")</x:f>
        <x:v>HYPERLINK is not implemented. linkLocation=https://12umic.hit.edu.cn/2025/0321/c20012a364785/page.htm, friendlyName=打开来源</x:v>
      </x:c>
      <x:c r="N71" s="3" t="str">
        <x:v>https://12umic.hit.edu.cn/2025/0321/c20012a364785/page.htm</x:v>
      </x:c>
      <x:c r="O71" s="3" t="str">
        <x:v>公开正文给出仿生等设计任务限制，并指向相应比赛手册。</x:v>
      </x:c>
      <x:c r="P71" s="9" t="n">
        <x:v>46298</x:v>
      </x:c>
    </x:row>
    <x:row r="72" ht="44" customHeight="1">
      <x:c r="A72" s="3" t="n">
        <x:v>71</x:v>
      </x:c>
      <x:c r="B72" s="3" t="str">
        <x:v>2026034</x:v>
      </x:c>
      <x:c r="C72" s="3" t="str">
        <x:v>第十二届全国大学生机械创新设计大赛</x:v>
      </x:c>
      <x:c r="D72" s="3" t="str">
        <x:v>第十二届主题与内容说明</x:v>
      </x:c>
      <x:c r="E72" s="3" t="str">
        <x:v>赛题</x:v>
      </x:c>
      <x:c r="F72" s="3" t="str">
        <x:v>大赛组委会／哈尔滨工业大学</x:v>
      </x:c>
      <x:c r="G72" s="3" t="str">
        <x:v>入门</x:v>
      </x:c>
      <x:c r="H72" s="3" t="str">
        <x:v>第十二届主题选题</x:v>
      </x:c>
      <x:c r="I72" s="3" t="str">
        <x:v>用于判断方案是否符合规定内容和赛季。</x:v>
      </x:c>
      <x:c r="J72" s="3" t="str">
        <x:v>免费公开</x:v>
      </x:c>
      <x:c r="K72" s="3" t="str">
        <x:v>page_read</x:v>
      </x:c>
      <x:c r="L72" s="3" t="str">
        <x:v>已读来源页面</x:v>
      </x:c>
      <x:c r="M72" s="8" t="e">
        <x:f>HYPERLINK(N72,"打开来源")</x:f>
        <x:v>HYPERLINK is not implemented. linkLocation=https://12umic.hit.edu.cn/2025/0321/c20012a364782/page.htm, friendlyName=打开来源</x:v>
      </x:c>
      <x:c r="N72" s="3" t="str">
        <x:v>https://12umic.hit.edu.cn/2025/0321/c20012a364782/page.htm</x:v>
      </x:c>
      <x:c r="O72" s="3" t="str">
        <x:v>官方主题通知说明2026常规与2027数字孪生两类赛季。</x:v>
      </x:c>
      <x:c r="P72" s="9" t="n">
        <x:v>46298</x:v>
      </x:c>
    </x:row>
    <x:row r="73" ht="44" customHeight="1">
      <x:c r="A73" s="3" t="n">
        <x:v>72</x:v>
      </x:c>
      <x:c r="B73" s="3" t="str">
        <x:v>2026034</x:v>
      </x:c>
      <x:c r="C73" s="3" t="str">
        <x:v>第十二届全国大学生机械创新设计大赛</x:v>
      </x:c>
      <x:c r="D73" s="3" t="str">
        <x:v>第十二届选题问与答（2025年9月版本）</x:v>
      </x:c>
      <x:c r="E73" s="3" t="str">
        <x:v>规则与模板</x:v>
      </x:c>
      <x:c r="F73" s="3" t="str">
        <x:v>大赛组委会／哈尔滨工业大学</x:v>
      </x:c>
      <x:c r="G73" s="3" t="str">
        <x:v>进阶</x:v>
      </x:c>
      <x:c r="H73" s="3" t="str">
        <x:v>第十二届选题边界与常见疑问</x:v>
      </x:c>
      <x:c r="I73" s="3" t="str">
        <x:v>进一步核对选题是否偏离任务；页面发布于2026而文件题名为2025版本。</x:v>
      </x:c>
      <x:c r="J73" s="3" t="str">
        <x:v>待确认</x:v>
      </x:c>
      <x:c r="K73" s="3" t="str">
        <x:v>official_index</x:v>
      </x:c>
      <x:c r="L73" s="3" t="str">
        <x:v>已确认索引或入口</x:v>
      </x:c>
      <x:c r="M73" s="8" t="e">
        <x:f>HYPERLINK(N73,"打开来源")</x:f>
        <x:v>HYPERLINK is not implemented. linkLocation=https://12umic.hit.edu.cn/2026/0423/c20012a390584/page.htm, friendlyName=打开来源</x:v>
      </x:c>
      <x:c r="N73" s="3" t="str">
        <x:v>https://12umic.hit.edu.cn/2026/0423/c20012a390584/page.htm</x:v>
      </x:c>
      <x:c r="O73" s="3" t="str">
        <x:v>已核验官方题名和发布入口，正文附件未被当前阅读器展开。</x:v>
      </x:c>
      <x:c r="P73" s="9" t="n">
        <x:v>46298</x:v>
      </x:c>
    </x:row>
    <x:row r="74" ht="44" customHeight="1">
      <x:c r="A74" s="3" t="n">
        <x:v>73</x:v>
      </x:c>
      <x:c r="B74" s="3" t="str">
        <x:v>2026035</x:v>
      </x:c>
      <x:c r="C74" s="3" t="str">
        <x:v>第十九届全国大学生先进成图技术与产品信息建模创新大赛</x:v>
      </x:c>
      <x:c r="D74" s="3" t="str">
        <x:v>第十九届第一轮通知与竞赛类别</x:v>
      </x:c>
      <x:c r="E74" s="3" t="str">
        <x:v>规则与模板</x:v>
      </x:c>
      <x:c r="F74" s="3" t="str">
        <x:v>全国大学生先进成图大赛组委会</x:v>
      </x:c>
      <x:c r="G74" s="3" t="str">
        <x:v>入门</x:v>
      </x:c>
      <x:c r="H74" s="3" t="str">
        <x:v>2026赛事类别与基础要求；不作为最终赛程</x:v>
      </x:c>
      <x:c r="I74" s="3" t="str">
        <x:v>了解机械、建筑等类别与赛道设置。</x:v>
      </x:c>
      <x:c r="J74" s="3" t="str">
        <x:v>免费公开</x:v>
      </x:c>
      <x:c r="K74" s="3" t="str">
        <x:v>page_read</x:v>
      </x:c>
      <x:c r="L74" s="3" t="str">
        <x:v>已读来源页面</x:v>
      </x:c>
      <x:c r="M74" s="8" t="e">
        <x:f>HYPERLINK(N74,"打开来源")</x:f>
        <x:v>HYPERLINK is not implemented. linkLocation=https://zhxy.nwsuaf.edu.cn/docs/2026-03/771f859d3f8d43e18ae9d8c155891444.pdf, friendlyName=打开来源</x:v>
      </x:c>
      <x:c r="N74" s="3" t="str">
        <x:v>https://zhxy.nwsuaf.edu.cn/docs/2026-03/771f859d3f8d43e18ae9d8c155891444.pdf</x:v>
      </x:c>
      <x:c r="O74" s="3" t="str">
        <x:v>原通知PDF公开可读，时间属于早期安排。</x:v>
      </x:c>
      <x:c r="P74" s="9" t="n">
        <x:v>46298</x:v>
      </x:c>
    </x:row>
    <x:row r="75" ht="44" customHeight="1">
      <x:c r="A75" s="3" t="n">
        <x:v>74</x:v>
      </x:c>
      <x:c r="B75" s="3" t="str">
        <x:v>2026035</x:v>
      </x:c>
      <x:c r="C75" s="3" t="str">
        <x:v>第十九届全国大学生先进成图技术与产品信息建模创新大赛</x:v>
      </x:c>
      <x:c r="D75" s="3" t="str">
        <x:v>卡伦特成图大赛真题建模与配套操作视频</x:v>
      </x:c>
      <x:c r="E75" s="3" t="str">
        <x:v>课程与指南</x:v>
      </x:c>
      <x:c r="F75" s="3" t="str">
        <x:v>卡伦特CurrentCAD</x:v>
      </x:c>
      <x:c r="G75" s="3" t="str">
        <x:v>入门</x:v>
      </x:c>
      <x:c r="H75" s="3" t="str">
        <x:v>成图大赛机械建模训练，使用卡伦特软件者</x:v>
      </x:c>
      <x:c r="I75" s="3" t="str">
        <x:v>针对零件建模、装配和工程图开展实例训练；不是泛泛软件宣传页。</x:v>
      </x:c>
      <x:c r="J75" s="3" t="str">
        <x:v>免费公开</x:v>
      </x:c>
      <x:c r="K75" s="3" t="str">
        <x:v>official_index</x:v>
      </x:c>
      <x:c r="L75" s="3" t="str">
        <x:v>已确认索引或入口</x:v>
      </x:c>
      <x:c r="M75" s="8" t="e">
        <x:f>HYPERLINK(N75,"打开来源")</x:f>
        <x:v>HYPERLINK is not implemented. linkLocation=https://home.currentcad.com/support/, friendlyName=打开来源</x:v>
      </x:c>
      <x:c r="N75" s="3" t="str">
        <x:v>https://home.currentcad.com/support/</x:v>
      </x:c>
      <x:c r="O75" s="3" t="str">
        <x:v>厂商学习页有独立成图大赛真题建模栏目及十个零件实战视频入口。</x:v>
      </x:c>
      <x:c r="P75" s="9" t="n">
        <x:v>46298</x:v>
      </x:c>
    </x:row>
    <x:row r="76" ht="44" customHeight="1">
      <x:c r="A76" s="3" t="n">
        <x:v>75</x:v>
      </x:c>
      <x:c r="B76" s="3" t="str">
        <x:v>2026035</x:v>
      </x:c>
      <x:c r="C76" s="3" t="str">
        <x:v>第十九届全国大学生先进成图技术与产品信息建模创新大赛</x:v>
      </x:c>
      <x:c r="D76" s="3" t="str">
        <x:v>中望3D实例与功能学习视频</x:v>
      </x:c>
      <x:c r="E76" s="3" t="str">
        <x:v>课程与指南</x:v>
      </x:c>
      <x:c r="F76" s="3" t="str">
        <x:v>中望软件</x:v>
      </x:c>
      <x:c r="G76" s="3" t="str">
        <x:v>入门</x:v>
      </x:c>
      <x:c r="H76" s="3" t="str">
        <x:v>选择中望3D备赛的机械建模部分</x:v>
      </x:c>
      <x:c r="I76" s="3" t="str">
        <x:v>补足草图、特征、装配和工程图对应操作，再结合本届赛题练习。</x:v>
      </x:c>
      <x:c r="J76" s="3" t="str">
        <x:v>免费公开</x:v>
      </x:c>
      <x:c r="K76" s="3" t="str">
        <x:v>official_index</x:v>
      </x:c>
      <x:c r="L76" s="3" t="str">
        <x:v>已确认索引或入口</x:v>
      </x:c>
      <x:c r="M76" s="8" t="e">
        <x:f>HYPERLINK(N76,"打开来源")</x:f>
        <x:v>HYPERLINK is not implemented. linkLocation=https://www.zwsoft.cn/support/zw3d_base_video, friendlyName=打开来源</x:v>
      </x:c>
      <x:c r="N76" s="3" t="str">
        <x:v>https://www.zwsoft.cn/support/zw3d_base_video</x:v>
      </x:c>
      <x:c r="O76" s="3" t="str">
        <x:v>厂商官方教程索引列具体零件装配、曲面、草图等实例，软件要求仍以比赛规程为准。</x:v>
      </x:c>
      <x:c r="P76" s="9" t="n">
        <x:v>46298</x:v>
      </x:c>
    </x:row>
    <x:row r="77" ht="44" customHeight="1">
      <x:c r="A77" s="3" t="n">
        <x:v>76</x:v>
      </x:c>
      <x:c r="B77" s="3" t="str">
        <x:v>2026036</x:v>
      </x:c>
      <x:c r="C77" s="3" t="str">
        <x:v>全国大学生节能减排社会实践与科技竞赛</x:v>
      </x:c>
      <x:c r="D77" s="3" t="str">
        <x:v>竞赛章程（2025年修订）</x:v>
      </x:c>
      <x:c r="E77" s="3" t="str">
        <x:v>规则与模板</x:v>
      </x:c>
      <x:c r="F77" s="3" t="str">
        <x:v>竞赛组委会</x:v>
      </x:c>
      <x:c r="G77" s="3" t="str">
        <x:v>入门</x:v>
      </x:c>
      <x:c r="H77" s="3" t="str">
        <x:v>节能减排竞赛通用参赛准备</x:v>
      </x:c>
      <x:c r="I77" s="3" t="str">
        <x:v>先了解申报、展示、组织和异议程序；年度细则另查。</x:v>
      </x:c>
      <x:c r="J77" s="3" t="str">
        <x:v>免费公开</x:v>
      </x:c>
      <x:c r="K77" s="3" t="str">
        <x:v>page_read</x:v>
      </x:c>
      <x:c r="L77" s="3" t="str">
        <x:v>已读来源页面</x:v>
      </x:c>
      <x:c r="M77" s="8" t="e">
        <x:f>HYPERLINK(N77,"打开来源")</x:f>
        <x:v>HYPERLINK is not implemented. linkLocation=https://www.jienengjianpai.org/h-col-161.html, friendlyName=打开来源</x:v>
      </x:c>
      <x:c r="N77" s="3" t="str">
        <x:v>https://www.jienengjianpai.org/h-col-161.html</x:v>
      </x:c>
      <x:c r="O77" s="3" t="str">
        <x:v>全文说明赛事组织、作品申报及展示方式。</x:v>
      </x:c>
      <x:c r="P77" s="9" t="n">
        <x:v>46298</x:v>
      </x:c>
    </x:row>
    <x:row r="78" ht="44" customHeight="1">
      <x:c r="A78" s="3" t="n">
        <x:v>77</x:v>
      </x:c>
      <x:c r="B78" s="3" t="str">
        <x:v>2026036</x:v>
      </x:c>
      <x:c r="C78" s="3" t="str">
        <x:v>全国大学生节能减排社会实践与科技竞赛</x:v>
      </x:c>
      <x:c r="D78" s="3" t="str">
        <x:v>第十届特等奖作品简介（2017）</x:v>
      </x:c>
      <x:c r="E78" s="3" t="str">
        <x:v>作品案例</x:v>
      </x:c>
      <x:c r="F78" s="3" t="str">
        <x:v>竞赛组委会</x:v>
      </x:c>
      <x:c r="G78" s="3" t="str">
        <x:v>入门</x:v>
      </x:c>
      <x:c r="H78" s="3" t="str">
        <x:v>科技作品选题与节能效果论证</x:v>
      </x:c>
      <x:c r="I78" s="3" t="str">
        <x:v>学习从具体能耗问题到技术原理、样机及效果指标的写法。</x:v>
      </x:c>
      <x:c r="J78" s="3" t="str">
        <x:v>免费公开</x:v>
      </x:c>
      <x:c r="K78" s="3" t="str">
        <x:v>page_read</x:v>
      </x:c>
      <x:c r="L78" s="3" t="str">
        <x:v>已读来源页面</x:v>
      </x:c>
      <x:c r="M78" s="8" t="e">
        <x:f>HYPERLINK(N78,"打开来源")</x:f>
        <x:v>HYPERLINK is not implemented. linkLocation=https://www.jienengjianpai.org/sys-nd/332.html, friendlyName=打开来源</x:v>
      </x:c>
      <x:c r="N78" s="3" t="str">
        <x:v>https://www.jienengjianpai.org/sys-nd/332.html</x:v>
      </x:c>
      <x:c r="O78" s="3" t="str">
        <x:v>收录换热、波浪能、清洁船等项目简介，仅作往届选题参考，非完整复现资料。</x:v>
      </x:c>
      <x:c r="P78" s="9" t="n">
        <x:v>46298</x:v>
      </x:c>
    </x:row>
    <x:row r="79" ht="44" customHeight="1">
      <x:c r="A79" s="3" t="n">
        <x:v>78</x:v>
      </x:c>
      <x:c r="B79" s="3" t="str">
        <x:v>2026037</x:v>
      </x:c>
      <x:c r="C79" s="3" t="str">
        <x:v>中国大学生机械工程创新创意大赛-工业工程与精益管理创新赛</x:v>
      </x:c>
      <x:c r="D79" s="3" t="str">
        <x:v>2026参赛作品要求与评分维度</x:v>
      </x:c>
      <x:c r="E79" s="3" t="str">
        <x:v>规则与模板</x:v>
      </x:c>
      <x:c r="F79" s="3" t="str">
        <x:v>上海工程技术大学转述赛项要求</x:v>
      </x:c>
      <x:c r="G79" s="3" t="str">
        <x:v>入门</x:v>
      </x:c>
      <x:c r="H79" s="3" t="str">
        <x:v>工业工程与精益管理案例报告</x:v>
      </x:c>
      <x:c r="I79" s="3" t="str">
        <x:v>用科学规范、选题、内容、应用效果、协作和答辩等维度检查案例。</x:v>
      </x:c>
      <x:c r="J79" s="3" t="str">
        <x:v>免费公开</x:v>
      </x:c>
      <x:c r="K79" s="3" t="str">
        <x:v>page_read</x:v>
      </x:c>
      <x:c r="L79" s="3" t="str">
        <x:v>已读来源页面</x:v>
      </x:c>
      <x:c r="M79" s="8" t="e">
        <x:f>HYPERLINK(N79,"打开来源")</x:f>
        <x:v>HYPERLINK is not implemented. linkLocation=https://www.sues.edu.cn/8a/36/c26790a297526/page.htm, friendlyName=打开来源</x:v>
      </x:c>
      <x:c r="N79" s="3" t="str">
        <x:v>https://www.sues.edu.cn/8a/36/c26790a297526/page.htm</x:v>
      </x:c>
      <x:c r="O79" s="3" t="str">
        <x:v>说明案例需有实际应用，报告及演示材料需呈现效果。</x:v>
      </x:c>
      <x:c r="P79" s="9" t="n">
        <x:v>46298</x:v>
      </x:c>
    </x:row>
    <x:row r="80" ht="44" customHeight="1">
      <x:c r="A80" s="3" t="n">
        <x:v>79</x:v>
      </x:c>
      <x:c r="B80" s="3" t="str">
        <x:v>2026037</x:v>
      </x:c>
      <x:c r="C80" s="3" t="str">
        <x:v>中国大学生机械工程创新创意大赛-工业工程与精益管理创新赛</x:v>
      </x:c>
      <x:c r="D80" s="3" t="str">
        <x:v>中国工业工程应用案例库</x:v>
      </x:c>
      <x:c r="E80" s="3" t="str">
        <x:v>作品案例</x:v>
      </x:c>
      <x:c r="F80" s="3" t="str">
        <x:v>清华大学工业工程系</x:v>
      </x:c>
      <x:c r="G80" s="3" t="str">
        <x:v>进阶</x:v>
      </x:c>
      <x:c r="H80" s="3" t="str">
        <x:v>生产流程、物流及精益改善案例学习</x:v>
      </x:c>
      <x:c r="I80" s="3" t="str">
        <x:v>集中寻找有数据支撑的工业工程案例，学习如何组织事实与分析。</x:v>
      </x:c>
      <x:c r="J80" s="3" t="str">
        <x:v>需登录</x:v>
      </x:c>
      <x:c r="K80" s="3" t="str">
        <x:v>page_read</x:v>
      </x:c>
      <x:c r="L80" s="3" t="str">
        <x:v>已读来源页面</x:v>
      </x:c>
      <x:c r="M80" s="8" t="e">
        <x:f>HYPERLINK(N80,"打开来源")</x:f>
        <x:v>HYPERLINK is not implemented. linkLocation=https://www2.ie.tsinghua.edu.cn/ciecb/index.php, friendlyName=打开来源</x:v>
      </x:c>
      <x:c r="N80" s="3" t="str">
        <x:v>https://www2.ie.tsinghua.edu.cn/ciecb/index.php</x:v>
      </x:c>
      <x:c r="O80" s="3" t="str">
        <x:v>页面说明案例与数据共享机制并提供会员入口；未登录读取案例全文，非本赛指定案例集。</x:v>
      </x:c>
      <x:c r="P80" s="9" t="n">
        <x:v>46298</x:v>
      </x:c>
    </x:row>
    <x:row r="81" ht="50" customHeight="1">
      <x:c r="A81" s="3" t="n">
        <x:v>80</x:v>
      </x:c>
      <x:c r="B81" s="3" t="str">
        <x:v>2026038</x:v>
      </x:c>
      <x:c r="C81" s="3" t="str">
        <x:v>中国大学生机械工程创新创意大赛-机械产品数字化设计赛</x:v>
      </x:c>
      <x:c r="D81" s="3" t="str">
        <x:v>2026机械产品数字化设计赛公告、命题与评分标准</x:v>
      </x:c>
      <x:c r="E81" s="3" t="str">
        <x:v>赛题</x:v>
      </x:c>
      <x:c r="F81" s="3" t="str">
        <x:v>赛项执委会（中国石油大学公开附件）</x:v>
      </x:c>
      <x:c r="G81" s="3" t="str">
        <x:v>入门</x:v>
      </x:c>
      <x:c r="H81" s="3" t="str">
        <x:v>数字设计类、数字孪生类</x:v>
      </x:c>
      <x:c r="I81" s="3" t="str">
        <x:v>依据真实命题和评审要求准备模型、分析与提交材料。</x:v>
      </x:c>
      <x:c r="J81" s="3" t="str">
        <x:v>免费公开</x:v>
      </x:c>
      <x:c r="K81" s="3" t="str">
        <x:v>page_read</x:v>
      </x:c>
      <x:c r="L81" s="3" t="str">
        <x:v>已读来源页面</x:v>
      </x:c>
      <x:c r="M81" s="8" t="e">
        <x:f>HYPERLINK(N81,"打开来源")</x:f>
        <x:v>HYPERLINK is not implemented. linkLocation=https://cmee.upc.edu.cn/_upload/article/files/77/e3/8e5b629b4f438ad4039ebb0013df/506893e0-f59f-424d-9bcb-a882bb947e75.pdf, friendlyName=打开来源</x:v>
      </x:c>
      <x:c r="N81" s="3" t="str">
        <x:v>https://cmee.upc.edu.cn/_upload/article/files/77/e3/8e5b629b4f438ad4039ebb0013df/506893e0-f59f-424d-9bcb-a882bb947e75.pdf</x:v>
      </x:c>
      <x:c r="O81" s="3" t="str">
        <x:v>37页公告附件，包含设计类与数字孪生类的命题和评分说明。</x:v>
      </x:c>
      <x:c r="P81" s="9" t="n">
        <x:v>46298</x:v>
      </x:c>
    </x:row>
    <x:row r="82" ht="50" customHeight="1">
      <x:c r="A82" s="3" t="n">
        <x:v>81</x:v>
      </x:c>
      <x:c r="B82" s="3" t="str">
        <x:v>2026038</x:v>
      </x:c>
      <x:c r="C82" s="3" t="str">
        <x:v>中国大学生机械工程创新创意大赛-机械产品数字化设计赛</x:v>
      </x:c>
      <x:c r="D82" s="3" t="str">
        <x:v>2026华东区域赛第一号公告</x:v>
      </x:c>
      <x:c r="E82" s="3" t="str">
        <x:v>规则与模板</x:v>
      </x:c>
      <x:c r="F82" s="3" t="str">
        <x:v>华东区域赛执委会（中国石油大学公开附件）</x:v>
      </x:c>
      <x:c r="G82" s="3" t="str">
        <x:v>入门</x:v>
      </x:c>
      <x:c r="H82" s="3" t="str">
        <x:v>华东地区参赛组织与材料检查</x:v>
      </x:c>
      <x:c r="I82" s="3" t="str">
        <x:v>同济所在赛区的报名路径、校内推荐和区域材料规则可单独核对。</x:v>
      </x:c>
      <x:c r="J82" s="3" t="str">
        <x:v>免费公开</x:v>
      </x:c>
      <x:c r="K82" s="3" t="str">
        <x:v>page_read</x:v>
      </x:c>
      <x:c r="L82" s="3" t="str">
        <x:v>已读来源页面</x:v>
      </x:c>
      <x:c r="M82" s="8" t="e">
        <x:f>HYPERLINK(N82,"打开来源")</x:f>
        <x:v>HYPERLINK is not implemented. linkLocation=https://cmee.upc.edu.cn/_upload/article/files/77/e3/8e5b629b4f438ad4039ebb0013df/1adf5ad9-1b34-43ff-95cc-d591bea4f2cc.pdf, friendlyName=打开来源</x:v>
      </x:c>
      <x:c r="N82" s="3" t="str">
        <x:v>https://cmee.upc.edu.cn/_upload/article/files/77/e3/8e5b629b4f438ad4039ebb0013df/1adf5ad9-1b34-43ff-95cc-d591bea4f2cc.pdf</x:v>
      </x:c>
      <x:c r="O82" s="3" t="str">
        <x:v>同济大学承办，内容与全国技术要求一致；属于区域流程资料。</x:v>
      </x:c>
      <x:c r="P82" s="9" t="n">
        <x:v>46298</x:v>
      </x:c>
    </x:row>
    <x:row r="83" ht="44" customHeight="1">
      <x:c r="A83" s="3" t="n">
        <x:v>82</x:v>
      </x:c>
      <x:c r="B83" s="3" t="str">
        <x:v>2026039</x:v>
      </x:c>
      <x:c r="C83" s="3" t="str">
        <x:v>中国大学生机械工程创新创意大赛-物流技术创意赛</x:v>
      </x:c>
      <x:c r="D83" s="3" t="str">
        <x:v>2026物流技术创意赛任务与实施方案入口</x:v>
      </x:c>
      <x:c r="E83" s="3" t="str">
        <x:v>赛题</x:v>
      </x:c>
      <x:c r="F83" s="3" t="str">
        <x:v>燕山大学转发赛事方案</x:v>
      </x:c>
      <x:c r="G83" s="3" t="str">
        <x:v>入门</x:v>
      </x:c>
      <x:c r="H83" s="3" t="str">
        <x:v>散料货物搬运机器人</x:v>
      </x:c>
      <x:c r="I83" s="3" t="str">
        <x:v>先明确自动识别、装卸和自主运行的任务边界再设计机构与控制系统。</x:v>
      </x:c>
      <x:c r="J83" s="3" t="str">
        <x:v>免费公开</x:v>
      </x:c>
      <x:c r="K83" s="3" t="str">
        <x:v>page_read</x:v>
      </x:c>
      <x:c r="L83" s="3" t="str">
        <x:v>已读来源页面</x:v>
      </x:c>
      <x:c r="M83" s="8" t="e">
        <x:f>HYPERLINK(N83,"打开来源")</x:f>
        <x:v>HYPERLINK is not implemented. linkLocation=https://notice.ysu.edu.cn/info/2264/25623.htm, friendlyName=打开来源</x:v>
      </x:c>
      <x:c r="N83" s="3" t="str">
        <x:v>https://notice.ysu.edu.cn/info/2264/25623.htm</x:v>
      </x:c>
      <x:c r="O83" s="3" t="str">
        <x:v>页面已读任务正文；实施方案附件未完整展开。</x:v>
      </x:c>
      <x:c r="P83" s="9" t="n">
        <x:v>46298</x:v>
      </x:c>
    </x:row>
    <x:row r="84" ht="44" customHeight="1">
      <x:c r="A84" s="3" t="n">
        <x:v>83</x:v>
      </x:c>
      <x:c r="B84" s="3" t="str">
        <x:v>2026039</x:v>
      </x:c>
      <x:c r="C84" s="3" t="str">
        <x:v>中国大学生机械工程创新创意大赛-物流技术创意赛</x:v>
      </x:c>
      <x:c r="D84" s="3" t="str">
        <x:v>OpenCV图像阈值分割教程</x:v>
      </x:c>
      <x:c r="E84" s="3" t="str">
        <x:v>课程与指南</x:v>
      </x:c>
      <x:c r="F84" s="3" t="str">
        <x:v>OpenCV项目</x:v>
      </x:c>
      <x:c r="G84" s="3" t="str">
        <x:v>入门</x:v>
      </x:c>
      <x:c r="H84" s="3" t="str">
        <x:v>物流赛散料视觉识别的分割基线</x:v>
      </x:c>
      <x:c r="I84" s="3" t="str">
        <x:v>可用简单阈值、自适应阈值和Otsu实现前景分割，再结合现场光照做实验。</x:v>
      </x:c>
      <x:c r="J84" s="3" t="str">
        <x:v>免费公开</x:v>
      </x:c>
      <x:c r="K84" s="3" t="str">
        <x:v>page_read</x:v>
      </x:c>
      <x:c r="L84" s="3" t="str">
        <x:v>已读来源页面</x:v>
      </x:c>
      <x:c r="M84" s="8" t="e">
        <x:f>HYPERLINK(N84,"打开来源")</x:f>
        <x:v>HYPERLINK is not implemented. linkLocation=https://docs.opencv.org/4.x/d7/d4d/tutorial_py_thresholding.html, friendlyName=打开来源</x:v>
      </x:c>
      <x:c r="N84" s="3" t="str">
        <x:v>https://docs.opencv.org/4.x/d7/d4d/tutorial_py_thresholding.html</x:v>
      </x:c>
      <x:c r="O84" s="3" t="str">
        <x:v>官方教程附Python示例和结果比较；为自主技术路线参考，并非比赛指定工具或完整识别方案。</x:v>
      </x:c>
      <x:c r="P84" s="9" t="n">
        <x:v>46298</x:v>
      </x:c>
    </x:row>
    <x:row r="85" ht="64" customHeight="1">
      <x:c r="A85" s="3" t="n">
        <x:v>84</x:v>
      </x:c>
      <x:c r="B85" s="3" t="str">
        <x:v>2026040</x:v>
      </x:c>
      <x:c r="C85" s="3" t="str">
        <x:v>“中国软件杯”大学生软件设计大赛</x:v>
      </x:c>
      <x:c r="D85" s="3" t="str">
        <x:v>2026 A8赛题解析与PID培训资料</x:v>
      </x:c>
      <x:c r="E85" s="3" t="str">
        <x:v>课程与指南</x:v>
      </x:c>
      <x:c r="F85" s="3" t="str">
        <x:v>同元软控MoHub</x:v>
      </x:c>
      <x:c r="G85" s="3" t="str">
        <x:v>入门</x:v>
      </x:c>
      <x:c r="H85" s="3" t="str">
        <x:v>2026 A8四旋翼无人机控制赛题</x:v>
      </x:c>
      <x:c r="I85" s="3" t="str">
        <x:v>沿出题技术方的解析理解模型结构和交付要求。</x:v>
      </x:c>
      <x:c r="J85" s="3" t="str">
        <x:v>待确认</x:v>
      </x:c>
      <x:c r="K85" s="3" t="str">
        <x:v>official_index</x:v>
      </x:c>
      <x:c r="L85" s="3" t="str">
        <x:v>已确认索引或入口</x:v>
      </x:c>
      <x:c r="M85" s="8" t="e">
        <x:f>HYPERLINK(N85,"打开来源")</x:f>
        <x:v>HYPERLINK is not implemented. linkLocation=https://mohub.net/model/26139/file?path=02-2026%E5%B9%B4%E5%BA%A6%E5%9F%B9%E8%AE%AD%E6%9D%90%E6%96%99/01-%E8%B5%9B%E9%A2%98%E8%A7%A3%E6%9E%90%E4%BC%9A%EF%BC%88%E4%B8%80%EF%BC%89.pdf&amp;type=blob, friendlyName=打开来源</x:v>
      </x:c>
      <x:c r="N85" s="3" t="str">
        <x:v>https://mohub.net/model/26139/file?path=02-2026%E5%B9%B4%E5%BA%A6%E5%9F%B9%E8%AE%AD%E6%9D%90%E6%96%99/01-%E8%B5%9B%E9%A2%98%E8%A7%A3%E6%9E%90%E4%BC%9A%EF%BC%88%E4%B8%80%EF%BC%89.pdf&amp;type=blob</x:v>
      </x:c>
      <x:c r="O85" s="3" t="str">
        <x:v>官方专区列出赛题解析、PID闭环控制视频及配套材料；文件页动态显示，未逐页读取PDF。</x:v>
      </x:c>
      <x:c r="P85" s="9" t="n">
        <x:v>46298</x:v>
      </x:c>
    </x:row>
    <x:row r="86" ht="44" customHeight="1">
      <x:c r="A86" s="3" t="n">
        <x:v>85</x:v>
      </x:c>
      <x:c r="B86" s="3" t="str">
        <x:v>2026040</x:v>
      </x:c>
      <x:c r="C86" s="3" t="str">
        <x:v>“中国软件杯”大学生软件设计大赛</x:v>
      </x:c>
      <x:c r="D86" s="3" t="str">
        <x:v>2026 A8 QuadrotorModel四旋翼仿真案例</x:v>
      </x:c>
      <x:c r="E86" s="3" t="str">
        <x:v>代码</x:v>
      </x:c>
      <x:c r="F86" s="3" t="str">
        <x:v>同元软控MoHub</x:v>
      </x:c>
      <x:c r="G86" s="3" t="str">
        <x:v>进阶</x:v>
      </x:c>
      <x:c r="H86" s="3" t="str">
        <x:v>2026 A8仿真模型与控制算法实验</x:v>
      </x:c>
      <x:c r="I86" s="3" t="str">
        <x:v>在题目提供的模型基础上评估控制策略与扰动鲁棒性。</x:v>
      </x:c>
      <x:c r="J86" s="3" t="str">
        <x:v>待确认</x:v>
      </x:c>
      <x:c r="K86" s="3" t="str">
        <x:v>official_index</x:v>
      </x:c>
      <x:c r="L86" s="3" t="str">
        <x:v>已确认索引或入口</x:v>
      </x:c>
      <x:c r="M86" s="8" t="e">
        <x:f>HYPERLINK(N86,"打开来源")</x:f>
        <x:v>HYPERLINK is not implemented. linkLocation=https://mohub.net/model/2355/file, friendlyName=打开来源</x:v>
      </x:c>
      <x:c r="N86" s="3" t="str">
        <x:v>https://mohub.net/model/2355/file</x:v>
      </x:c>
      <x:c r="O86" s="3" t="str">
        <x:v>官网题目专区直接列出的四旋翼模型入口；未登录下载运行，许可和下载条件需在实际页面核对。</x:v>
      </x:c>
      <x:c r="P86" s="9" t="n">
        <x:v>46298</x:v>
      </x:c>
    </x:row>
    <x:row r="87" ht="44" customHeight="1">
      <x:c r="A87" s="3" t="n">
        <x:v>86</x:v>
      </x:c>
      <x:c r="B87" s="3" t="str">
        <x:v>2026040</x:v>
      </x:c>
      <x:c r="C87" s="3" t="str">
        <x:v>“中国软件杯”大学生软件设计大赛</x:v>
      </x:c>
      <x:c r="D87" s="3" t="str">
        <x:v>A8赛题任务及量化评价说明</x:v>
      </x:c>
      <x:c r="E87" s="3" t="str">
        <x:v>赛题</x:v>
      </x:c>
      <x:c r="F87" s="3" t="str">
        <x:v>同元软控MoHub</x:v>
      </x:c>
      <x:c r="G87" s="3" t="str">
        <x:v>入门</x:v>
      </x:c>
      <x:c r="H87" s="3" t="str">
        <x:v>2026 A8控制系统设计与优化</x:v>
      </x:c>
      <x:c r="I87" s="3" t="str">
        <x:v>把控制目标转成超调、稳态误差、轨迹误差和扰动测试的实验计划。</x:v>
      </x:c>
      <x:c r="J87" s="3" t="str">
        <x:v>免费公开</x:v>
      </x:c>
      <x:c r="K87" s="3" t="str">
        <x:v>page_read</x:v>
      </x:c>
      <x:c r="L87" s="3" t="str">
        <x:v>已读来源页面</x:v>
      </x:c>
      <x:c r="M87" s="8" t="e">
        <x:f>HYPERLINK(N87,"打开来源")</x:f>
        <x:v>HYPERLINK is not implemented. linkLocation=https://mohub.net/competition/5/detail, friendlyName=打开来源</x:v>
      </x:c>
      <x:c r="N87" s="3" t="str">
        <x:v>https://mohub.net/competition/5/detail</x:v>
      </x:c>
      <x:c r="O87" s="3" t="str">
        <x:v>正文说明动力学、电驱、传感器与基础控制模型，以及控制优化和性能比较任务。</x:v>
      </x:c>
      <x:c r="P87" s="9" t="n">
        <x:v>46298</x:v>
      </x:c>
    </x:row>
    <x:row r="88" ht="44" customHeight="1">
      <x:c r="A88" s="3" t="n">
        <x:v>87</x:v>
      </x:c>
      <x:c r="B88" s="3" t="str">
        <x:v>2026041</x:v>
      </x:c>
      <x:c r="C88" s="3" t="str">
        <x:v>ACM-ICPC国际大学生程序设计竞赛</x:v>
      </x:c>
      <x:c r="D88" s="3" t="str">
        <x:v>2025 ICPC世界总决赛完整题集</x:v>
      </x:c>
      <x:c r="E88" s="3" t="str">
        <x:v>赛题</x:v>
      </x:c>
      <x:c r="F88" s="3" t="str">
        <x:v>ICPC Foundation</x:v>
      </x:c>
      <x:c r="G88" s="3" t="str">
        <x:v>进阶</x:v>
      </x:c>
      <x:c r="H88" s="3" t="str">
        <x:v>ICPC高级算法与限时组队训练</x:v>
      </x:c>
      <x:c r="I88" s="3" t="str">
        <x:v>以真实决赛题训练读题、复杂度分析和团队分题。</x:v>
      </x:c>
      <x:c r="J88" s="3" t="str">
        <x:v>免费公开</x:v>
      </x:c>
      <x:c r="K88" s="3" t="str">
        <x:v>page_read</x:v>
      </x:c>
      <x:c r="L88" s="3" t="str">
        <x:v>已读来源页面</x:v>
      </x:c>
      <x:c r="M88" s="8" t="e">
        <x:f>HYPERLINK(N88,"打开来源")</x:f>
        <x:v>HYPERLINK is not implemented. linkLocation=https://worldfinals.icpc.global/problems/2025/finals/problems/problemset.pdf, friendlyName=打开来源</x:v>
      </x:c>
      <x:c r="N88" s="3" t="str">
        <x:v>https://worldfinals.icpc.global/problems/2025/finals/problems/problemset.pdf</x:v>
      </x:c>
      <x:c r="O88" s="3" t="str">
        <x:v>24页题集，包含题意、输入输出、样例和限制；属于往届题。</x:v>
      </x:c>
      <x:c r="P88" s="9" t="n">
        <x:v>46298</x:v>
      </x:c>
    </x:row>
    <x:row r="89" ht="44" customHeight="1">
      <x:c r="A89" s="3" t="n">
        <x:v>88</x:v>
      </x:c>
      <x:c r="B89" s="3" t="str">
        <x:v>2026041</x:v>
      </x:c>
      <x:c r="C89" s="3" t="str">
        <x:v>ACM-ICPC国际大学生程序设计竞赛</x:v>
      </x:c>
      <x:c r="D89" s="3" t="str">
        <x:v>2025 ICPC World Finals解题思路</x:v>
      </x:c>
      <x:c r="E89" s="3" t="str">
        <x:v>作品案例</x:v>
      </x:c>
      <x:c r="F89" s="3" t="str">
        <x:v>Bruce Merry等作者，ICPC官网托管</x:v>
      </x:c>
      <x:c r="G89" s="3" t="str">
        <x:v>进阶</x:v>
      </x:c>
      <x:c r="H89" s="3" t="str">
        <x:v>2025决赛题复盘</x:v>
      </x:c>
      <x:c r="I89" s="3" t="str">
        <x:v>独立尝试后对照可行思路与复杂度，定位知识缺口。</x:v>
      </x:c>
      <x:c r="J89" s="3" t="str">
        <x:v>免费公开</x:v>
      </x:c>
      <x:c r="K89" s="3" t="str">
        <x:v>page_read</x:v>
      </x:c>
      <x:c r="L89" s="3" t="str">
        <x:v>已读来源页面</x:v>
      </x:c>
      <x:c r="M89" s="8" t="e">
        <x:f>HYPERLINK(N89,"打开来源")</x:f>
        <x:v>HYPERLINK is not implemented. linkLocation=https://icpc.global/worldfinals/problems/2025-ICPC-World-Finals/2025-ICPC-Solutions.pdf, friendlyName=打开来源</x:v>
      </x:c>
      <x:c r="N89" s="3" t="str">
        <x:v>https://icpc.global/worldfinals/problems/2025-ICPC-World-Finals/2025-ICPC-Solutions.pdf</x:v>
      </x:c>
      <x:c r="O89" s="3" t="str">
        <x:v>8页思路说明；文档自行声明为非官方完整标准解，不等于可直接提交代码。</x:v>
      </x:c>
      <x:c r="P89" s="9" t="n">
        <x:v>46298</x:v>
      </x:c>
    </x:row>
    <x:row r="90" ht="44" customHeight="1">
      <x:c r="A90" s="3" t="n">
        <x:v>89</x:v>
      </x:c>
      <x:c r="B90" s="3" t="str">
        <x:v>2026041</x:v>
      </x:c>
      <x:c r="C90" s="3" t="str">
        <x:v>ACM-ICPC国际大学生程序设计竞赛</x:v>
      </x:c>
      <x:c r="D90" s="3" t="str">
        <x:v>Competitive Programmer's Handbook</x:v>
      </x:c>
      <x:c r="E90" s="3" t="str">
        <x:v>课程与指南</x:v>
      </x:c>
      <x:c r="F90" s="3" t="str">
        <x:v>Antti Laaksonen／CSES</x:v>
      </x:c>
      <x:c r="G90" s="3" t="str">
        <x:v>入门</x:v>
      </x:c>
      <x:c r="H90" s="3" t="str">
        <x:v>算法竞赛基础与进阶学习</x:v>
      </x:c>
      <x:c r="I90" s="3" t="str">
        <x:v>系统补齐复杂度、动态规划、图论和数据结构，为真实赛题训练打基础。</x:v>
      </x:c>
      <x:c r="J90" s="3" t="str">
        <x:v>免费公开</x:v>
      </x:c>
      <x:c r="K90" s="3" t="str">
        <x:v>page_read</x:v>
      </x:c>
      <x:c r="L90" s="3" t="str">
        <x:v>已读来源页面</x:v>
      </x:c>
      <x:c r="M90" s="8" t="e">
        <x:f>HYPERLINK(N90,"打开来源")</x:f>
        <x:v>HYPERLINK is not implemented. linkLocation=https://cses.fi/book/book.pdf, friendlyName=打开来源</x:v>
      </x:c>
      <x:c r="N90" s="3" t="str">
        <x:v>https://cses.fi/book/book.pdf</x:v>
      </x:c>
      <x:c r="O90" s="3" t="str">
        <x:v>作者公开英文教材；非ICPC指定教材。</x:v>
      </x:c>
      <x:c r="P90" s="9" t="n">
        <x:v>46298</x:v>
      </x:c>
    </x:row>
    <x:row r="91" ht="44" customHeight="1">
      <x:c r="A91" s="3" t="n">
        <x:v>90</x:v>
      </x:c>
      <x:c r="B91" s="3" t="str">
        <x:v>2026041</x:v>
      </x:c>
      <x:c r="C91" s="3" t="str">
        <x:v>ACM-ICPC国际大学生程序设计竞赛</x:v>
      </x:c>
      <x:c r="D91" s="3" t="str">
        <x:v>CSES分类算法练习题</x:v>
      </x:c>
      <x:c r="E91" s="3" t="str">
        <x:v>赛题</x:v>
      </x:c>
      <x:c r="F91" s="3" t="str">
        <x:v>CSES</x:v>
      </x:c>
      <x:c r="G91" s="3" t="str">
        <x:v>入门</x:v>
      </x:c>
      <x:c r="H91" s="3" t="str">
        <x:v>ICPC基础专项训练</x:v>
      </x:c>
      <x:c r="I91" s="3" t="str">
        <x:v>先按排序搜索、动态规划、图论等专题练习，再做整场真题。</x:v>
      </x:c>
      <x:c r="J91" s="3" t="str">
        <x:v>需登录</x:v>
      </x:c>
      <x:c r="K91" s="3" t="str">
        <x:v>page_read</x:v>
      </x:c>
      <x:c r="L91" s="3" t="str">
        <x:v>已读来源页面</x:v>
      </x:c>
      <x:c r="M91" s="8" t="e">
        <x:f>HYPERLINK(N91,"打开来源")</x:f>
        <x:v>HYPERLINK is not implemented. linkLocation=https://cses.fi/problemset/, friendlyName=打开来源</x:v>
      </x:c>
      <x:c r="N91" s="3" t="str">
        <x:v>https://cses.fi/problemset/</x:v>
      </x:c>
      <x:c r="O91" s="3" t="str">
        <x:v>可公开读题；提交评测及保存进度需账户，不是ICPC真题集。</x:v>
      </x:c>
      <x:c r="P91" s="9" t="n">
        <x:v>46298</x:v>
      </x:c>
    </x:row>
    <x:row r="92" ht="44" customHeight="1">
      <x:c r="A92" s="3" t="n">
        <x:v>91</x:v>
      </x:c>
      <x:c r="B92" s="3" t="str">
        <x:v>2026042</x:v>
      </x:c>
      <x:c r="C92" s="3" t="str">
        <x:v>百度之星·程序设计大赛</x:v>
      </x:c>
      <x:c r="D92" s="3" t="str">
        <x:v>2026赛事说明与章程附件入口</x:v>
      </x:c>
      <x:c r="E92" s="3" t="str">
        <x:v>规则与模板</x:v>
      </x:c>
      <x:c r="F92" s="3" t="str">
        <x:v>云南大学转发主办方通知</x:v>
      </x:c>
      <x:c r="G92" s="3" t="str">
        <x:v>入门</x:v>
      </x:c>
      <x:c r="H92" s="3" t="str">
        <x:v>百度之星参赛准备</x:v>
      </x:c>
      <x:c r="I92" s="3" t="str">
        <x:v>区分初赛与决赛、个人参赛及支持语言，再进行计时练习。</x:v>
      </x:c>
      <x:c r="J92" s="3" t="str">
        <x:v>免费公开</x:v>
      </x:c>
      <x:c r="K92" s="3" t="str">
        <x:v>page_read</x:v>
      </x:c>
      <x:c r="L92" s="3" t="str">
        <x:v>已读来源页面</x:v>
      </x:c>
      <x:c r="M92" s="8" t="e">
        <x:f>HYPERLINK(N92,"打开来源")</x:f>
        <x:v>HYPERLINK is not implemented. linkLocation=https://jwc.ynu.edu.cn/info/1009/4331.htm, friendlyName=打开来源</x:v>
      </x:c>
      <x:c r="N92" s="3" t="str">
        <x:v>https://jwc.ynu.edu.cn/info/1009/4331.htm</x:v>
      </x:c>
      <x:c r="O92" s="3" t="str">
        <x:v>赛事说明正文已读；附录章程点击后需要验证码，尚未阅读全文。</x:v>
      </x:c>
      <x:c r="P92" s="9" t="n">
        <x:v>46298</x:v>
      </x:c>
    </x:row>
    <x:row r="93" ht="44" customHeight="1">
      <x:c r="A93" s="3" t="n">
        <x:v>92</x:v>
      </x:c>
      <x:c r="B93" s="3" t="str">
        <x:v>2026042</x:v>
      </x:c>
      <x:c r="C93" s="3" t="str">
        <x:v>百度之星·程序设计大赛</x:v>
      </x:c>
      <x:c r="D93" s="3" t="str">
        <x:v>百度之星往届真题练习入口</x:v>
      </x:c>
      <x:c r="E93" s="3" t="str">
        <x:v>赛题</x:v>
      </x:c>
      <x:c r="F93" s="3" t="str">
        <x:v>码蹄集（2026高校通知指向）</x:v>
      </x:c>
      <x:c r="G93" s="3" t="str">
        <x:v>进阶</x:v>
      </x:c>
      <x:c r="H93" s="3" t="str">
        <x:v>百度之星题型与实战训练</x:v>
      </x:c>
      <x:c r="I93" s="3" t="str">
        <x:v>按历届比赛练习真实题型，比赛后复盘算法选择。</x:v>
      </x:c>
      <x:c r="J93" s="3" t="str">
        <x:v>需登录</x:v>
      </x:c>
      <x:c r="K93" s="3" t="str">
        <x:v>official_index</x:v>
      </x:c>
      <x:c r="L93" s="3" t="str">
        <x:v>已确认索引或入口</x:v>
      </x:c>
      <x:c r="M93" s="8" t="e">
        <x:f>HYPERLINK(N93,"打开来源")</x:f>
        <x:v>HYPERLINK is not implemented. linkLocation=https://www.matiji.net/exam/baiduzhixing, friendlyName=打开来源</x:v>
      </x:c>
      <x:c r="N93" s="3" t="str">
        <x:v>https://www.matiji.net/exam/baiduzhixing</x:v>
      </x:c>
      <x:c r="O93" s="3" t="str">
        <x:v>云南大学通知明确推荐并说明注册练习；目标页本次超时，未逐题读取。</x:v>
      </x:c>
      <x:c r="P93" s="9" t="n">
        <x:v>46298</x:v>
      </x:c>
    </x:row>
    <x:row r="94" ht="44" customHeight="1">
      <x:c r="A94" s="3" t="n">
        <x:v>93</x:v>
      </x:c>
      <x:c r="B94" s="3" t="str">
        <x:v>2026042</x:v>
      </x:c>
      <x:c r="C94" s="3" t="str">
        <x:v>百度之星·程序设计大赛</x:v>
      </x:c>
      <x:c r="D94" s="3" t="str">
        <x:v>Competitive Programmer's Handbook算法教材</x:v>
      </x:c>
      <x:c r="E94" s="3" t="str">
        <x:v>课程与指南</x:v>
      </x:c>
      <x:c r="F94" s="3" t="str">
        <x:v>Antti Laaksonen／CSES</x:v>
      </x:c>
      <x:c r="G94" s="3" t="str">
        <x:v>入门</x:v>
      </x:c>
      <x:c r="H94" s="3" t="str">
        <x:v>百度之星算法与数据结构准备</x:v>
      </x:c>
      <x:c r="I94" s="3" t="str">
        <x:v>用于补齐动态规划、图和数学算法，再回到百度之星真题练习。</x:v>
      </x:c>
      <x:c r="J94" s="3" t="str">
        <x:v>免费公开</x:v>
      </x:c>
      <x:c r="K94" s="3" t="str">
        <x:v>page_read</x:v>
      </x:c>
      <x:c r="L94" s="3" t="str">
        <x:v>已读来源页面</x:v>
      </x:c>
      <x:c r="M94" s="8" t="e">
        <x:f>HYPERLINK(N94,"打开来源")</x:f>
        <x:v>HYPERLINK is not implemented. linkLocation=https://cses.fi/book/book.pdf, friendlyName=打开来源</x:v>
      </x:c>
      <x:c r="N94" s="3" t="str">
        <x:v>https://cses.fi/book/book.pdf</x:v>
      </x:c>
      <x:c r="O94" s="3" t="str">
        <x:v>作者免费公开教材；不是百度指定教材，也不代替赛事规则。</x:v>
      </x:c>
      <x:c r="P94" s="9" t="n">
        <x:v>46298</x:v>
      </x:c>
    </x:row>
    <x:row r="95" ht="44" customHeight="1">
      <x:c r="A95" s="3" t="n">
        <x:v>94</x:v>
      </x:c>
      <x:c r="B95" s="3" t="str">
        <x:v>2026043</x:v>
      </x:c>
      <x:c r="C95" s="3" t="str">
        <x:v>全国大学生计算机系统能力大赛</x:v>
      </x:c>
      <x:c r="D95" s="3" t="str">
        <x:v>内核实现赛道参考实例与教程</x:v>
      </x:c>
      <x:c r="E95" s="3" t="str">
        <x:v>课程与指南</x:v>
      </x:c>
      <x:c r="F95" s="3" t="str">
        <x:v>oscomp</x:v>
      </x:c>
      <x:c r="G95" s="3" t="str">
        <x:v>入门</x:v>
      </x:c>
      <x:c r="H95" s="3" t="str">
        <x:v>操作系统内核实现赛道</x:v>
      </x:c>
      <x:c r="I95" s="3" t="str">
        <x:v>按比赛技术方向选择硬件平台与OS实例，建立学习路线。</x:v>
      </x:c>
      <x:c r="J95" s="3" t="str">
        <x:v>免费公开</x:v>
      </x:c>
      <x:c r="K95" s="3" t="str">
        <x:v>page_read</x:v>
      </x:c>
      <x:c r="L95" s="3" t="str">
        <x:v>已读来源页面</x:v>
      </x:c>
      <x:c r="M95" s="8" t="e">
        <x:f>HYPERLINK(N95,"打开来源")</x:f>
        <x:v>HYPERLINK is not implemented. linkLocation=https://github.com/oscomp/os-competition-info/blob/main/ref-info.md, friendlyName=打开来源</x:v>
      </x:c>
      <x:c r="N95" s="3" t="str">
        <x:v>https://github.com/oscomp/os-competition-info/blob/main/ref-info.md</x:v>
      </x:c>
      <x:c r="O95" s="3" t="str">
        <x:v>官方仓库整理的参考信息，含多种硬件和教学OS；主要链接源自2025准备资料，需对照2026要求。</x:v>
      </x:c>
      <x:c r="P95" s="9" t="n">
        <x:v>46298</x:v>
      </x:c>
    </x:row>
    <x:row r="96" ht="44" customHeight="1">
      <x:c r="A96" s="3" t="n">
        <x:v>95</x:v>
      </x:c>
      <x:c r="B96" s="3" t="str">
        <x:v>2026043</x:v>
      </x:c>
      <x:c r="C96" s="3" t="str">
        <x:v>全国大学生计算机系统能力大赛</x:v>
      </x:c>
      <x:c r="D96" s="3" t="str">
        <x:v>rCore-Tutorial-Book第三版</x:v>
      </x:c>
      <x:c r="E96" s="3" t="str">
        <x:v>课程与指南</x:v>
      </x:c>
      <x:c r="F96" s="3" t="str">
        <x:v>rCoreOS开源社区</x:v>
      </x:c>
      <x:c r="G96" s="3" t="str">
        <x:v>进阶</x:v>
      </x:c>
      <x:c r="H96" s="3" t="str">
        <x:v>操作系统赛Rust／RISC-V内核方向</x:v>
      </x:c>
      <x:c r="I96" s="3" t="str">
        <x:v>从执行环境开始实现任务、地址空间、进程、文件系统与I/O。</x:v>
      </x:c>
      <x:c r="J96" s="3" t="str">
        <x:v>免费公开</x:v>
      </x:c>
      <x:c r="K96" s="3" t="str">
        <x:v>page_read</x:v>
      </x:c>
      <x:c r="L96" s="3" t="str">
        <x:v>已读来源页面</x:v>
      </x:c>
      <x:c r="M96" s="8" t="e">
        <x:f>HYPERLINK(N96,"打开来源")</x:f>
        <x:v>HYPERLINK is not implemented. linkLocation=https://rcore-os.cn/rCore-Tutorial-Book-v3/, friendlyName=打开来源</x:v>
      </x:c>
      <x:c r="N96" s="3" t="str">
        <x:v>https://rcore-os.cn/rCore-Tutorial-Book-v3/</x:v>
      </x:c>
      <x:c r="O96" s="3" t="str">
        <x:v>循序渐进编写类Unix内核，含实验环境与习题；教程完成不等于满足全部竞赛测例。</x:v>
      </x:c>
      <x:c r="P96" s="9" t="n">
        <x:v>46298</x:v>
      </x:c>
    </x:row>
    <x:row r="97" ht="44" customHeight="1">
      <x:c r="A97" s="3" t="n">
        <x:v>96</x:v>
      </x:c>
      <x:c r="B97" s="3" t="str">
        <x:v>2026043</x:v>
      </x:c>
      <x:c r="C97" s="3" t="str">
        <x:v>全国大学生计算机系统能力大赛</x:v>
      </x:c>
      <x:c r="D97" s="3" t="str">
        <x:v>2021—2025内核赛道获奖开源作品索引</x:v>
      </x:c>
      <x:c r="E97" s="3" t="str">
        <x:v>代码</x:v>
      </x:c>
      <x:c r="F97" s="3" t="str">
        <x:v>oscomp</x:v>
      </x:c>
      <x:c r="G97" s="3" t="str">
        <x:v>进阶</x:v>
      </x:c>
      <x:c r="H97" s="3" t="str">
        <x:v>操作系统内核设计与工程结构复盘</x:v>
      </x:c>
      <x:c r="I97" s="3" t="str">
        <x:v>比较往届队伍的实现和文档，学习系统组织及测试方式。</x:v>
      </x:c>
      <x:c r="J97" s="3" t="str">
        <x:v>免费公开</x:v>
      </x:c>
      <x:c r="K97" s="3" t="str">
        <x:v>page_read</x:v>
      </x:c>
      <x:c r="L97" s="3" t="str">
        <x:v>已读来源页面</x:v>
      </x:c>
      <x:c r="M97" s="8" t="e">
        <x:f>HYPERLINK(N97,"打开来源")</x:f>
        <x:v>HYPERLINK is not implemented. linkLocation=https://github.com/oscomp/os-competition-info/blob/main/os-kernel-winners.md, friendlyName=打开来源</x:v>
      </x:c>
      <x:c r="N97" s="3" t="str">
        <x:v>https://github.com/oscomp/os-competition-info/blob/main/os-kernel-winners.md</x:v>
      </x:c>
      <x:c r="O97" s="3" t="str">
        <x:v>官方索引列出年份、奖项和项目链接；未逐个克隆运行，复用须单独核对各项目许可。</x:v>
      </x:c>
      <x:c r="P97" s="9" t="n">
        <x:v>46298</x:v>
      </x:c>
    </x:row>
    <x:row r="98" ht="44" customHeight="1">
      <x:c r="A98" s="3" t="n">
        <x:v>97</x:v>
      </x:c>
      <x:c r="B98" s="3" t="str">
        <x:v>2026044</x:v>
      </x:c>
      <x:c r="C98" s="3" t="str">
        <x:v>全国大学生信息安全竞赛</x:v>
      </x:c>
      <x:c r="D98" s="3" t="str">
        <x:v>2026作品赛选题范围及提交附件入口</x:v>
      </x:c>
      <x:c r="E98" s="3" t="str">
        <x:v>规则与模板</x:v>
      </x:c>
      <x:c r="F98" s="3" t="str">
        <x:v>西安邮电大学转发赛事要求</x:v>
      </x:c>
      <x:c r="G98" s="3" t="str">
        <x:v>入门</x:v>
      </x:c>
      <x:c r="H98" s="3" t="str">
        <x:v>自由作品赛、命题挑战赛</x:v>
      </x:c>
      <x:c r="I98" s="3" t="str">
        <x:v>先确定作品所属方向及需要的报告、原创说明，再开展设计。</x:v>
      </x:c>
      <x:c r="J98" s="3" t="str">
        <x:v>免费公开</x:v>
      </x:c>
      <x:c r="K98" s="3" t="str">
        <x:v>page_read</x:v>
      </x:c>
      <x:c r="L98" s="3" t="str">
        <x:v>已读来源页面</x:v>
      </x:c>
      <x:c r="M98" s="8" t="e">
        <x:f>HYPERLINK(N98,"打开来源")</x:f>
        <x:v>HYPERLINK is not implemented. linkLocation=https://www.xupt.edu.cn/info/2104/86427.htm, friendlyName=打开来源</x:v>
      </x:c>
      <x:c r="N98" s="3" t="str">
        <x:v>https://www.xupt.edu.cn/info/2104/86427.htm</x:v>
      </x:c>
      <x:c r="O98" s="3" t="str">
        <x:v>页面说明软件/硬件作品和命题选择；附件ZIP未展开，不能视为已读取具体命题。</x:v>
      </x:c>
      <x:c r="P98" s="9" t="n">
        <x:v>46298</x:v>
      </x:c>
    </x:row>
    <x:row r="99" ht="44" customHeight="1">
      <x:c r="A99" s="3" t="n">
        <x:v>98</x:v>
      </x:c>
      <x:c r="B99" s="3" t="str">
        <x:v>2026044</x:v>
      </x:c>
      <x:c r="C99" s="3" t="str">
        <x:v>全国大学生信息安全竞赛</x:v>
      </x:c>
      <x:c r="D99" s="3" t="str">
        <x:v>OWASP Web Security Testing Guide v4.2</x:v>
      </x:c>
      <x:c r="E99" s="3" t="str">
        <x:v>课程与指南</x:v>
      </x:c>
      <x:c r="F99" s="3" t="str">
        <x:v>OWASP Foundation</x:v>
      </x:c>
      <x:c r="G99" s="3" t="str">
        <x:v>进阶</x:v>
      </x:c>
      <x:c r="H99" s="3" t="str">
        <x:v>Web安全类作品的测试设计及实战基础</x:v>
      </x:c>
      <x:c r="I99" s="3" t="str">
        <x:v>用于构建认证、会话、输入处理等测试范围并记录验证证据。</x:v>
      </x:c>
      <x:c r="J99" s="3" t="str">
        <x:v>免费公开</x:v>
      </x:c>
      <x:c r="K99" s="3" t="str">
        <x:v>page_read</x:v>
      </x:c>
      <x:c r="L99" s="3" t="str">
        <x:v>已读来源页面</x:v>
      </x:c>
      <x:c r="M99" s="8" t="e">
        <x:f>HYPERLINK(N99,"打开来源")</x:f>
        <x:v>HYPERLINK is not implemented. linkLocation=https://wstg.owasp.org/v4.2/, friendlyName=打开来源</x:v>
      </x:c>
      <x:c r="N99" s="3" t="str">
        <x:v>https://wstg.owasp.org/v4.2/</x:v>
      </x:c>
      <x:c r="O99" s="3" t="str">
        <x:v>公开测试指南；只对应Web安全方向，不是赛事指定题库或完整备赛课程。</x:v>
      </x:c>
      <x:c r="P99" s="9" t="n">
        <x:v>46298</x:v>
      </x:c>
    </x:row>
    <x:row r="100" ht="44" customHeight="1">
      <x:c r="A100" s="3" t="n">
        <x:v>99</x:v>
      </x:c>
      <x:c r="B100" s="3" t="str">
        <x:v>2026044</x:v>
      </x:c>
      <x:c r="C100" s="3" t="str">
        <x:v>全国大学生信息安全竞赛</x:v>
      </x:c>
      <x:c r="D100" s="3" t="str">
        <x:v>PortSwigger API安全测试专题</x:v>
      </x:c>
      <x:c r="E100" s="3" t="str">
        <x:v>课程与指南</x:v>
      </x:c>
      <x:c r="F100" s="3" t="str">
        <x:v>PortSwigger Web Security Academy</x:v>
      </x:c>
      <x:c r="G100" s="3" t="str">
        <x:v>进阶</x:v>
      </x:c>
      <x:c r="H100" s="3" t="str">
        <x:v>接口安全类作品／Web实战专项</x:v>
      </x:c>
      <x:c r="I100" s="3" t="str">
        <x:v>学习如何根据接口文档检查输入、方法、字段绑定及防护措施。</x:v>
      </x:c>
      <x:c r="J100" s="3" t="str">
        <x:v>需登录</x:v>
      </x:c>
      <x:c r="K100" s="3" t="str">
        <x:v>page_read</x:v>
      </x:c>
      <x:c r="L100" s="3" t="str">
        <x:v>已读来源页面</x:v>
      </x:c>
      <x:c r="M100" s="8" t="e">
        <x:f>HYPERLINK(N100,"打开来源")</x:f>
        <x:v>HYPERLINK is not implemented. linkLocation=https://portswigger.net/web-security/api-testing, friendlyName=打开来源</x:v>
      </x:c>
      <x:c r="N100" s="3" t="str">
        <x:v>https://portswigger.net/web-security/api-testing</x:v>
      </x:c>
      <x:c r="O100" s="3" t="str">
        <x:v>含REST/JSON接口测试讲解及实验入口；文章公开，实验或进度功能需账户。</x:v>
      </x:c>
      <x:c r="P100" s="9" t="n">
        <x:v>46298</x:v>
      </x:c>
    </x:row>
    <x:row r="101" ht="44" customHeight="1">
      <x:c r="A101" s="3" t="n">
        <x:v>100</x:v>
      </x:c>
      <x:c r="B101" s="3" t="str">
        <x:v>2026045</x:v>
      </x:c>
      <x:c r="C101" s="3" t="str">
        <x:v>全国大学生信息安全与对抗技术竞赛</x:v>
      </x:c>
      <x:c r="D101" s="3" t="str">
        <x:v>ISCC2026区域赛通知与细则附件</x:v>
      </x:c>
      <x:c r="E101" s="3" t="str">
        <x:v>规则与模板</x:v>
      </x:c>
      <x:c r="F101" s="3" t="str">
        <x:v>ISCC组委会</x:v>
      </x:c>
      <x:c r="G101" s="3" t="str">
        <x:v>入门</x:v>
      </x:c>
      <x:c r="H101" s="3" t="str">
        <x:v>2026线上挑战赛</x:v>
      </x:c>
      <x:c r="I101" s="3" t="str">
        <x:v>先核对所属区域、赛制及材料，避免混用不同赛道规则。</x:v>
      </x:c>
      <x:c r="J101" s="3" t="str">
        <x:v>免费公开</x:v>
      </x:c>
      <x:c r="K101" s="3" t="str">
        <x:v>official_index</x:v>
      </x:c>
      <x:c r="L101" s="3" t="str">
        <x:v>已确认索引或入口</x:v>
      </x:c>
      <x:c r="M101" s="8" t="e">
        <x:f>HYPERLINK(N101,"打开来源")</x:f>
        <x:v>HYPERLINK is not implemented. linkLocation=https://www.isclab.org.cn/2026/04/21/2026年第23届信息安全与对抗技术竞赛通知【更新版】/, friendlyName=打开来源</x:v>
      </x:c>
      <x:c r="N101" s="3" t="str">
        <x:v>https://www.isclab.org.cn/2026/04/21/2026年第23届信息安全与对抗技术竞赛通知【更新版】/</x:v>
      </x:c>
      <x:c r="O101" s="3" t="str">
        <x:v>官方通知列出上海与综合区域赛细则下载入口；本次已读通知，未逐附件阅读。</x:v>
      </x:c>
      <x:c r="P101" s="9" t="n">
        <x:v>46298</x:v>
      </x:c>
    </x:row>
    <x:row r="102" ht="44" customHeight="1">
      <x:c r="A102" s="3" t="n">
        <x:v>101</x:v>
      </x:c>
      <x:c r="B102" s="3" t="str">
        <x:v>2026045</x:v>
      </x:c>
      <x:c r="C102" s="3" t="str">
        <x:v>全国大学生信息安全与对抗技术竞赛</x:v>
      </x:c>
      <x:c r="D102" s="3" t="str">
        <x:v>公开课：信息系统安全与对抗理论</x:v>
      </x:c>
      <x:c r="E102" s="3" t="str">
        <x:v>课程与指南</x:v>
      </x:c>
      <x:c r="F102" s="3" t="str">
        <x:v>北京理工大学信息系统及安全对抗实验中心</x:v>
      </x:c>
      <x:c r="G102" s="3" t="str">
        <x:v>入门</x:v>
      </x:c>
      <x:c r="H102" s="3" t="str">
        <x:v>安全基础、ISCC相关知识准备</x:v>
      </x:c>
      <x:c r="I102" s="3" t="str">
        <x:v>学习信息安全对抗核心概念，建立专业基础知识体系。</x:v>
      </x:c>
      <x:c r="J102" s="3" t="str">
        <x:v>待确认</x:v>
      </x:c>
      <x:c r="K102" s="3" t="str">
        <x:v>page_read</x:v>
      </x:c>
      <x:c r="L102" s="3" t="str">
        <x:v>已读来源页面</x:v>
      </x:c>
      <x:c r="M102" s="8" t="e">
        <x:f>HYPERLINK(N102,"打开来源")</x:f>
        <x:v>HYPERLINK is not implemented. linkLocation=https://www.isclab.org.cn/2019/09/02/公开课-《信息系统安全与对抗理论》/, friendlyName=打开来源</x:v>
      </x:c>
      <x:c r="N102" s="3" t="str">
        <x:v>https://www.isclab.org.cn/2019/09/02/公开课-《信息系统安全与对抗理论》/</x:v>
      </x:c>
      <x:c r="O102" s="3" t="str">
        <x:v>2019年官方课程介绍附北京高校优质课程和中国大学慕课入口；完整课程访问及收费条件需进入平台确认。</x:v>
      </x:c>
      <x:c r="P102" s="9" t="n">
        <x:v>46298</x:v>
      </x:c>
    </x:row>
    <x:row r="103" ht="44" customHeight="1">
      <x:c r="A103" s="3" t="n">
        <x:v>102</x:v>
      </x:c>
      <x:c r="B103" s="3" t="str">
        <x:v>2026045</x:v>
      </x:c>
      <x:c r="C103" s="3" t="str">
        <x:v>全国大学生信息安全与对抗技术竞赛</x:v>
      </x:c>
      <x:c r="D103" s="3" t="str">
        <x:v>Web Security Academy 学习路径</x:v>
      </x:c>
      <x:c r="E103" s="3" t="str">
        <x:v>课程与指南</x:v>
      </x:c>
      <x:c r="F103" s="3" t="str">
        <x:v>PortSwigger</x:v>
      </x:c>
      <x:c r="G103" s="3" t="str">
        <x:v>入门</x:v>
      </x:c>
      <x:c r="H103" s="3" t="str">
        <x:v>Web安全方向训练；非ISCC指定教材</x:v>
      </x:c>
      <x:c r="I103" s="3" t="str">
        <x:v>按专题阅读并在平台授权实验环境练习Web安全问题。</x:v>
      </x:c>
      <x:c r="J103" s="3" t="str">
        <x:v>需登录</x:v>
      </x:c>
      <x:c r="K103" s="3" t="str">
        <x:v>page_read</x:v>
      </x:c>
      <x:c r="L103" s="3" t="str">
        <x:v>已读来源页面</x:v>
      </x:c>
      <x:c r="M103" s="8" t="e">
        <x:f>HYPERLINK(N103,"打开来源")</x:f>
        <x:v>HYPERLINK is not implemented. linkLocation=https://portswigger.net/web-security/learning-paths, friendlyName=打开来源</x:v>
      </x:c>
      <x:c r="N103" s="3" t="str">
        <x:v>https://portswigger.net/web-security/learning-paths</x:v>
      </x:c>
      <x:c r="O103" s="3" t="str">
        <x:v>官方学习路径按漏洞专题组织理论和实验；不替代ISCC赛题或规则。</x:v>
      </x:c>
      <x:c r="P103" s="9" t="n">
        <x:v>46298</x:v>
      </x:c>
    </x:row>
    <x:row r="104" ht="44" customHeight="1">
      <x:c r="A104" s="3" t="n">
        <x:v>103</x:v>
      </x:c>
      <x:c r="B104" s="3" t="str">
        <x:v>2026046</x:v>
      </x:c>
      <x:c r="C104" s="3" t="str">
        <x:v>中国大学生服务外包创新创业大赛</x:v>
      </x:c>
      <x:c r="D104" s="3" t="str">
        <x:v>第17届官方赛题目录</x:v>
      </x:c>
      <x:c r="E104" s="3" t="str">
        <x:v>赛题</x:v>
      </x:c>
      <x:c r="F104" s="3" t="str">
        <x:v>服创大赛组委会</x:v>
      </x:c>
      <x:c r="G104" s="3" t="str">
        <x:v>入门</x:v>
      </x:c>
      <x:c r="H104" s="3" t="str">
        <x:v>第17届各企业命题</x:v>
      </x:c>
      <x:c r="I104" s="3" t="str">
        <x:v>先比较任务难度和交付物，选择与团队技术积累匹配的题目。</x:v>
      </x:c>
      <x:c r="J104" s="3" t="str">
        <x:v>免费公开</x:v>
      </x:c>
      <x:c r="K104" s="3" t="str">
        <x:v>page_read</x:v>
      </x:c>
      <x:c r="L104" s="3" t="str">
        <x:v>已读来源页面</x:v>
      </x:c>
      <x:c r="M104" s="8" t="e">
        <x:f>HYPERLINK(N104,"打开来源")</x:f>
        <x:v>HYPERLINK is not implemented. linkLocation=https://www.fwwb.org.cn/topic/index, friendlyName=打开来源</x:v>
      </x:c>
      <x:c r="N104" s="3" t="str">
        <x:v>https://www.fwwb.org.cn/topic/index</x:v>
      </x:c>
      <x:c r="O104" s="3" t="str">
        <x:v>目录提供A类与D类具体赛题；每个赛题有独立要求。</x:v>
      </x:c>
      <x:c r="P104" s="9" t="n">
        <x:v>46298</x:v>
      </x:c>
    </x:row>
    <x:row r="105" ht="44" customHeight="1">
      <x:c r="A105" s="3" t="n">
        <x:v>104</x:v>
      </x:c>
      <x:c r="B105" s="3" t="str">
        <x:v>2026046</x:v>
      </x:c>
      <x:c r="C105" s="3" t="str">
        <x:v>中国大学生服务外包创新创业大赛</x:v>
      </x:c>
      <x:c r="D105" s="3" t="str">
        <x:v>A23 大语言模型文档理解与多源数据融合</x:v>
      </x:c>
      <x:c r="E105" s="3" t="str">
        <x:v>赛题</x:v>
      </x:c>
      <x:c r="F105" s="3" t="str">
        <x:v>组委会／金陵科技学院</x:v>
      </x:c>
      <x:c r="G105" s="3" t="str">
        <x:v>进阶</x:v>
      </x:c>
      <x:c r="H105" s="3" t="str">
        <x:v>文档处理、AI知识库应用方向</x:v>
      </x:c>
      <x:c r="I105" s="3" t="str">
        <x:v>可参考其模块划分、测试数据要求和准确率/响应时间评估方式。</x:v>
      </x:c>
      <x:c r="J105" s="3" t="str">
        <x:v>免费公开</x:v>
      </x:c>
      <x:c r="K105" s="3" t="str">
        <x:v>page_read</x:v>
      </x:c>
      <x:c r="L105" s="3" t="str">
        <x:v>已读来源页面</x:v>
      </x:c>
      <x:c r="M105" s="8" t="e">
        <x:f>HYPERLINK(N105,"打开来源")</x:f>
        <x:v>HYPERLINK is not implemented. linkLocation=https://www.fwwb.org.cn/topic/show/6ea580dc-cdde-41de-9e9a-a804f0df2112, friendlyName=打开来源</x:v>
      </x:c>
      <x:c r="N105" s="3" t="str">
        <x:v>https://www.fwwb.org.cn/topic/show/6ea580dc-cdde-41de-9e9a-a804f0df2112</x:v>
      </x:c>
      <x:c r="O105" s="3" t="str">
        <x:v>任务涉及自然语言文档操作、信息提取及表格填充，要求提供可运行Demo和方案。</x:v>
      </x:c>
      <x:c r="P105" s="9" t="n">
        <x:v>46298</x:v>
      </x:c>
    </x:row>
    <x:row r="106" ht="44" customHeight="1">
      <x:c r="A106" s="3" t="n">
        <x:v>105</x:v>
      </x:c>
      <x:c r="B106" s="3" t="str">
        <x:v>2026046</x:v>
      </x:c>
      <x:c r="C106" s="3" t="str">
        <x:v>中国大学生服务外包创新创业大赛</x:v>
      </x:c>
      <x:c r="D106" s="3" t="str">
        <x:v>A01 桌面微缩剧场多智能体演绎系统</x:v>
      </x:c>
      <x:c r="E106" s="3" t="str">
        <x:v>赛题</x:v>
      </x:c>
      <x:c r="F106" s="3" t="str">
        <x:v>组委会／百度</x:v>
      </x:c>
      <x:c r="G106" s="3" t="str">
        <x:v>进阶</x:v>
      </x:c>
      <x:c r="H106" s="3" t="str">
        <x:v>多智能体、飞桨与文心应用方向</x:v>
      </x:c>
      <x:c r="I106" s="3" t="str">
        <x:v>学习从具体场景拆解AI系统需求，而非仅调用一个聊天接口。</x:v>
      </x:c>
      <x:c r="J106" s="3" t="str">
        <x:v>免费公开</x:v>
      </x:c>
      <x:c r="K106" s="3" t="str">
        <x:v>page_read</x:v>
      </x:c>
      <x:c r="L106" s="3" t="str">
        <x:v>已读来源页面</x:v>
      </x:c>
      <x:c r="M106" s="8" t="e">
        <x:f>HYPERLINK(N106,"打开来源")</x:f>
        <x:v>HYPERLINK is not implemented. linkLocation=https://www.fwwb.org.cn/topic/show/7b467afe-8216-40ba-9506-0415edb5d9fe, friendlyName=打开来源</x:v>
      </x:c>
      <x:c r="N106" s="3" t="str">
        <x:v>https://www.fwwb.org.cn/topic/show/7b467afe-8216-40ba-9506-0415edb5d9fe</x:v>
      </x:c>
      <x:c r="O106" s="3" t="str">
        <x:v>官方命题页给出任务背景、开发与交付要求；适用于该命题，不能推广为全赛统一标准。</x:v>
      </x:c>
      <x:c r="P106" s="9" t="n">
        <x:v>46298</x:v>
      </x:c>
    </x:row>
    <x:row r="107" ht="44" customHeight="1">
      <x:c r="A107" s="3" t="n">
        <x:v>106</x:v>
      </x:c>
      <x:c r="B107" s="3" t="str">
        <x:v>2026047</x:v>
      </x:c>
      <x:c r="C107" s="3" t="str">
        <x:v>中国大学生计算机设计大赛</x:v>
      </x:c>
      <x:c r="D107" s="3" t="str">
        <x:v>2026参赛要求与作品分类</x:v>
      </x:c>
      <x:c r="E107" s="3" t="str">
        <x:v>规则与模板</x:v>
      </x:c>
      <x:c r="F107" s="3" t="str">
        <x:v>中国大学生计算机设计大赛组委会</x:v>
      </x:c>
      <x:c r="G107" s="3" t="str">
        <x:v>入门</x:v>
      </x:c>
      <x:c r="H107" s="3" t="str">
        <x:v>2026全部作品大类</x:v>
      </x:c>
      <x:c r="I107" s="3" t="str">
        <x:v>明确资格、主题和原创要求后再定项目范围。</x:v>
      </x:c>
      <x:c r="J107" s="3" t="str">
        <x:v>免费公开</x:v>
      </x:c>
      <x:c r="K107" s="3" t="str">
        <x:v>page_read</x:v>
      </x:c>
      <x:c r="L107" s="3" t="str">
        <x:v>已读来源页面</x:v>
      </x:c>
      <x:c r="M107" s="8" t="e">
        <x:f>HYPERLINK(N107,"打开来源")</x:f>
        <x:v>HYPERLINK is not implemented. linkLocation=https://jsjds.blcu.edu.cn/gyds1/csyq.htm, friendlyName=打开来源</x:v>
      </x:c>
      <x:c r="N107" s="3" t="str">
        <x:v>https://jsjds.blcu.edu.cn/gyds1/csyq.htm</x:v>
      </x:c>
      <x:c r="O107" s="3" t="str">
        <x:v>列出11类作品；数媒等部分大类有指定文化主题。</x:v>
      </x:c>
      <x:c r="P107" s="9" t="n">
        <x:v>46298</x:v>
      </x:c>
    </x:row>
    <x:row r="108" ht="44" customHeight="1">
      <x:c r="A108" s="3" t="n">
        <x:v>107</x:v>
      </x:c>
      <x:c r="B108" s="3" t="str">
        <x:v>2026047</x:v>
      </x:c>
      <x:c r="C108" s="3" t="str">
        <x:v>中国大学生计算机设计大赛</x:v>
      </x:c>
      <x:c r="D108" s="3" t="str">
        <x:v>4C2026作品提交要求及文档模板</x:v>
      </x:c>
      <x:c r="E108" s="3" t="str">
        <x:v>规则与模板</x:v>
      </x:c>
      <x:c r="F108" s="3" t="str">
        <x:v>中国大学生计算机设计大赛组委会</x:v>
      </x:c>
      <x:c r="G108" s="3" t="str">
        <x:v>通用</x:v>
      </x:c>
      <x:c r="H108" s="3" t="str">
        <x:v>2026作品材料准备</x:v>
      </x:c>
      <x:c r="I108" s="3" t="str">
        <x:v>按相应大类模板整理说明文档、演示和提交材料。</x:v>
      </x:c>
      <x:c r="J108" s="3" t="str">
        <x:v>待确认</x:v>
      </x:c>
      <x:c r="K108" s="3" t="str">
        <x:v>page_read</x:v>
      </x:c>
      <x:c r="L108" s="3" t="str">
        <x:v>已读来源页面</x:v>
      </x:c>
      <x:c r="M108" s="8" t="e">
        <x:f>HYPERLINK(N108,"打开来源")</x:f>
        <x:v>HYPERLINK is not implemented. linkLocation=https://jsjds.blcu.edu.cn/info/1045/2013.htm, friendlyName=打开来源</x:v>
      </x:c>
      <x:c r="N108" s="3" t="str">
        <x:v>https://jsjds.blcu.edu.cn/info/1045/2013.htm</x:v>
      </x:c>
      <x:c r="O108" s="3" t="str">
        <x:v>2026-04-17官方页面提供11大类模板的百度网盘入口；正文已读，网盘文件未逐份读取。</x:v>
      </x:c>
      <x:c r="P108" s="9" t="n">
        <x:v>46298</x:v>
      </x:c>
    </x:row>
    <x:row r="109" ht="44" customHeight="1">
      <x:c r="A109" s="3" t="n">
        <x:v>108</x:v>
      </x:c>
      <x:c r="B109" s="3" t="str">
        <x:v>2026048</x:v>
      </x:c>
      <x:c r="C109" s="3" t="str">
        <x:v>中国高校计算机大赛</x:v>
      </x:c>
      <x:c r="D109" s="3" t="str">
        <x:v>Develop in Swift 官方教程</x:v>
      </x:c>
      <x:c r="E109" s="3" t="str">
        <x:v>课程与指南</x:v>
      </x:c>
      <x:c r="F109" s="3" t="str">
        <x:v>Apple Developer</x:v>
      </x:c>
      <x:c r="G109" s="3" t="str">
        <x:v>入门</x:v>
      </x:c>
      <x:c r="H109" s="3" t="str">
        <x:v>C4移动应用创新赛的Apple开发方向；非所有C4赛项</x:v>
      </x:c>
      <x:c r="I109" s="3" t="str">
        <x:v>学习Swift应用开发的官方入门路线。</x:v>
      </x:c>
      <x:c r="J109" s="3" t="str">
        <x:v>免费公开</x:v>
      </x:c>
      <x:c r="K109" s="3" t="str">
        <x:v>official_index</x:v>
      </x:c>
      <x:c r="L109" s="3" t="str">
        <x:v>已确认索引或入口</x:v>
      </x:c>
      <x:c r="M109" s="8" t="e">
        <x:f>HYPERLINK(N109,"打开来源")</x:f>
        <x:v>HYPERLINK is not implemented. linkLocation=https://developer.apple.com/tutorials/develop-in-swift/, friendlyName=打开来源</x:v>
      </x:c>
      <x:c r="N109" s="3" t="str">
        <x:v>https://developer.apple.com/tutorials/develop-in-swift/</x:v>
      </x:c>
      <x:c r="O109" s="3" t="str">
        <x:v>已找到官方教程入口，但动态页面正文未完整读取，实际课程内容需浏览器打开。</x:v>
      </x:c>
      <x:c r="P109" s="9" t="n">
        <x:v>46298</x:v>
      </x:c>
    </x:row>
    <x:row r="110" ht="44" customHeight="1">
      <x:c r="A110" s="3" t="n">
        <x:v>109</x:v>
      </x:c>
      <x:c r="B110" s="3" t="str">
        <x:v>2026048</x:v>
      </x:c>
      <x:c r="C110" s="3" t="str">
        <x:v>中国高校计算机大赛</x:v>
      </x:c>
      <x:c r="D110" s="3" t="str">
        <x:v>SwiftUI：创建与组合视图（旧版教程）</x:v>
      </x:c>
      <x:c r="E110" s="3" t="str">
        <x:v>课程与指南</x:v>
      </x:c>
      <x:c r="F110" s="3" t="str">
        <x:v>Apple Developer</x:v>
      </x:c>
      <x:c r="G110" s="3" t="str">
        <x:v>入门</x:v>
      </x:c>
      <x:c r="H110" s="3" t="str">
        <x:v>SwiftUI布局基础参考</x:v>
      </x:c>
      <x:c r="I110" s="3" t="str">
        <x:v>通过Landmarks示例理解视图组合、栈布局和地图组件。</x:v>
      </x:c>
      <x:c r="J110" s="3" t="str">
        <x:v>免费公开</x:v>
      </x:c>
      <x:c r="K110" s="3" t="str">
        <x:v>search_result</x:v>
      </x:c>
      <x:c r="L110" s="3" t="str">
        <x:v>仅搜索结果，待核对</x:v>
      </x:c>
      <x:c r="M110" s="8" t="e">
        <x:f>HYPERLINK(N110,"打开来源")</x:f>
        <x:v>HYPERLINK is not implemented. linkLocation=https://developer.apple.com/tutorials/swiftui/creating-and-combining-views?changes=_9, friendlyName=打开来源</x:v>
      </x:c>
      <x:c r="N110" s="3" t="str">
        <x:v>https://developer.apple.com/tutorials/swiftui/creating-and-combining-views?changes=_9</x:v>
      </x:c>
      <x:c r="O110" s="3" t="str">
        <x:v>官方检索内容明确标注旧版教程已不代表最新SwiftUI/Xcode实践；新项目优先Develop in Swift。</x:v>
      </x:c>
      <x:c r="P110" s="9" t="n">
        <x:v>46298</x:v>
      </x:c>
    </x:row>
    <x:row r="111" ht="44" customHeight="1">
      <x:c r="A111" s="3" t="n">
        <x:v>110</x:v>
      </x:c>
      <x:c r="B111" s="3" t="str">
        <x:v>2026049</x:v>
      </x:c>
      <x:c r="C111" s="3" t="str">
        <x:v>2026同济大学国际建造节</x:v>
      </x:c>
      <x:c r="D111" s="3" t="str">
        <x:v>2026建造节现场与材料实践</x:v>
      </x:c>
      <x:c r="E111" s="3" t="str">
        <x:v>作品案例</x:v>
      </x:c>
      <x:c r="F111" s="3" t="str">
        <x:v>同济大学建筑与城市规划学院</x:v>
      </x:c>
      <x:c r="G111" s="3" t="str">
        <x:v>入门</x:v>
      </x:c>
      <x:c r="H111" s="3" t="str">
        <x:v>2026建造实践复盘</x:v>
      </x:c>
      <x:c r="I111" s="3" t="str">
        <x:v>了解真实材料、限时协作与空间尺度如何共同约束设计。</x:v>
      </x:c>
      <x:c r="J111" s="3" t="str">
        <x:v>免费公开</x:v>
      </x:c>
      <x:c r="K111" s="3" t="str">
        <x:v>page_read</x:v>
      </x:c>
      <x:c r="L111" s="3" t="str">
        <x:v>已读来源页面</x:v>
      </x:c>
      <x:c r="M111" s="8" t="e">
        <x:f>HYPERLINK(N111,"打开来源")</x:f>
        <x:v>HYPERLINK is not implemented. linkLocation=https://caup.tongji.edu.cn/c6/db/c33318a378587/page.htm, friendlyName=打开来源</x:v>
      </x:c>
      <x:c r="N111" s="3" t="str">
        <x:v>https://caup.tongji.edu.cn/c6/db/c33318a378587/page.htm</x:v>
      </x:c>
      <x:c r="O111" s="3" t="str">
        <x:v>报道记录竹竿、纸板、10小时和4米×3米空间条件，附现场图；不是完整施工手册。</x:v>
      </x:c>
      <x:c r="P111" s="9" t="n">
        <x:v>46298</x:v>
      </x:c>
    </x:row>
    <x:row r="112" ht="44" customHeight="1">
      <x:c r="A112" s="3" t="n">
        <x:v>111</x:v>
      </x:c>
      <x:c r="B112" s="3" t="str">
        <x:v>2026049</x:v>
      </x:c>
      <x:c r="C112" s="3" t="str">
        <x:v>2026同济大学国际建造节</x:v>
      </x:c>
      <x:c r="D112" s="3" t="str">
        <x:v>《显·隐》作品材料、节点与预制分析</x:v>
      </x:c>
      <x:c r="E112" s="3" t="str">
        <x:v>作品案例</x:v>
      </x:c>
      <x:c r="F112" s="3" t="str">
        <x:v>同济大学建筑与城市规划学院</x:v>
      </x:c>
      <x:c r="G112" s="3" t="str">
        <x:v>进阶</x:v>
      </x:c>
      <x:c r="H112" s="3" t="str">
        <x:v>往届设计建造方法参考</x:v>
      </x:c>
      <x:c r="I112" s="3" t="str">
        <x:v>通过具体作品学习材料试验、节点连接和预制装配思考。</x:v>
      </x:c>
      <x:c r="J112" s="3" t="str">
        <x:v>免费公开</x:v>
      </x:c>
      <x:c r="K112" s="3" t="str">
        <x:v>page_read</x:v>
      </x:c>
      <x:c r="L112" s="3" t="str">
        <x:v>已读来源页面</x:v>
      </x:c>
      <x:c r="M112" s="8" t="e">
        <x:f>HYPERLINK(N112,"打开来源")</x:f>
        <x:v>HYPERLINK is not implemented. linkLocation=https://caup.tongji.edu.cn/b9/fa/c33419a309754/page.htm, friendlyName=打开来源</x:v>
      </x:c>
      <x:c r="N112" s="3" t="str">
        <x:v>https://caup.tongji.edu.cn/b9/fa/c33419a309754/page.htm</x:v>
      </x:c>
      <x:c r="O112" s="3" t="str">
        <x:v>作者分析板材套盒、线连接及空间体验；属于往届方法案例，不是2026材料规则。</x:v>
      </x:c>
      <x:c r="P112" s="9" t="n">
        <x:v>46298</x:v>
      </x:c>
    </x:row>
    <x:row r="113" ht="44" customHeight="1">
      <x:c r="A113" s="3" t="n">
        <x:v>112</x:v>
      </x:c>
      <x:c r="B113" s="3" t="str">
        <x:v>2026049</x:v>
      </x:c>
      <x:c r="C113" s="3" t="str">
        <x:v>2026同济大学国际建造节</x:v>
      </x:c>
      <x:c r="D113" s="3" t="str">
        <x:v>2025建造节获奖作品展示</x:v>
      </x:c>
      <x:c r="E113" s="3" t="str">
        <x:v>作品案例</x:v>
      </x:c>
      <x:c r="F113" s="3" t="str">
        <x:v>同济大学建筑与城市规划学院</x:v>
      </x:c>
      <x:c r="G113" s="3" t="str">
        <x:v>入门</x:v>
      </x:c>
      <x:c r="H113" s="3" t="str">
        <x:v>往届作品比较</x:v>
      </x:c>
      <x:c r="I113" s="3" t="str">
        <x:v>比较概念、结构和空间表达，不把作品形式直接当作当前任务书。</x:v>
      </x:c>
      <x:c r="J113" s="3" t="str">
        <x:v>免费公开</x:v>
      </x:c>
      <x:c r="K113" s="3" t="str">
        <x:v>search_result</x:v>
      </x:c>
      <x:c r="L113" s="3" t="str">
        <x:v>仅搜索结果，待核对</x:v>
      </x:c>
      <x:c r="M113" s="8" t="e">
        <x:f>HYPERLINK(N113,"打开来源")</x:f>
        <x:v>HYPERLINK is not implemented. linkLocation=https://caup.tongji.edu.cn/68/61/c33370a354401/page.htm, friendlyName=打开来源</x:v>
      </x:c>
      <x:c r="N113" s="3" t="str">
        <x:v>https://caup.tongji.edu.cn/68/61/c33370a354401/page.htm</x:v>
      </x:c>
      <x:c r="O113" s="3" t="str">
        <x:v>2025塑料中空板赛题及获奖作品页面；本次基于官方搜索正文核查。</x:v>
      </x:c>
      <x:c r="P113" s="9" t="n">
        <x:v>46298</x:v>
      </x:c>
    </x:row>
    <x:row r="114" ht="44" customHeight="1">
      <x:c r="A114" s="3" t="n">
        <x:v>113</x:v>
      </x:c>
      <x:c r="B114" s="3" t="str">
        <x:v>2026050</x:v>
      </x:c>
      <x:c r="C114" s="3" t="str">
        <x:v>UIA 世界大学生建筑设计竞赛</x:v>
      </x:c>
      <x:c r="D114" s="3" t="str">
        <x:v>UIA2026学生竞赛任务书</x:v>
      </x:c>
      <x:c r="E114" s="3" t="str">
        <x:v>赛题</x:v>
      </x:c>
      <x:c r="F114" s="3" t="str">
        <x:v>UIA2026 Barcelona</x:v>
      </x:c>
      <x:c r="G114" s="3" t="str">
        <x:v>通用</x:v>
      </x:c>
      <x:c r="H114" s="3" t="str">
        <x:v>2026 Catalysts of Resilience</x:v>
      </x:c>
      <x:c r="I114" s="3" t="str">
        <x:v>理解设计主题、场地和参赛提交框架。</x:v>
      </x:c>
      <x:c r="J114" s="3" t="str">
        <x:v>免费公开</x:v>
      </x:c>
      <x:c r="K114" s="3" t="str">
        <x:v>page_read</x:v>
      </x:c>
      <x:c r="L114" s="3" t="str">
        <x:v>已读来源页面</x:v>
      </x:c>
      <x:c r="M114" s="8" t="e">
        <x:f>HYPERLINK(N114,"打开来源")</x:f>
        <x:v>HYPERLINK is not implemented. linkLocation=https://uia2026bcn.org/wp-content/uploads/2025/07/uia2026bcn_StudentsCompetition.pdf, friendlyName=打开来源</x:v>
      </x:c>
      <x:c r="N114" s="3" t="str">
        <x:v>https://uia2026bcn.org/wp-content/uploads/2025/07/uia2026bcn_StudentsCompetition.pdf</x:v>
      </x:c>
      <x:c r="O114" s="3" t="str">
        <x:v>16页官方PDF已读取，可作为本届规则和设计任务依据。</x:v>
      </x:c>
      <x:c r="P114" s="9" t="n">
        <x:v>46298</x:v>
      </x:c>
    </x:row>
    <x:row r="115" ht="44" customHeight="1">
      <x:c r="A115" s="3" t="n">
        <x:v>114</x:v>
      </x:c>
      <x:c r="B115" s="3" t="str">
        <x:v>2026050</x:v>
      </x:c>
      <x:c r="C115" s="3" t="str">
        <x:v>UIA 世界大学生建筑设计竞赛</x:v>
      </x:c>
      <x:c r="D115" s="3" t="str">
        <x:v>UIA2026评审报告</x:v>
      </x:c>
      <x:c r="E115" s="3" t="str">
        <x:v>作品案例</x:v>
      </x:c>
      <x:c r="F115" s="3" t="str">
        <x:v>UIA2026 Barcelona</x:v>
      </x:c>
      <x:c r="G115" s="3" t="str">
        <x:v>进阶</x:v>
      </x:c>
      <x:c r="H115" s="3" t="str">
        <x:v>2026方案评价方法</x:v>
      </x:c>
      <x:c r="I115" s="3" t="str">
        <x:v>参考评审如何讨论场地、生态与方案一致性。</x:v>
      </x:c>
      <x:c r="J115" s="3" t="str">
        <x:v>免费公开</x:v>
      </x:c>
      <x:c r="K115" s="3" t="str">
        <x:v>search_result</x:v>
      </x:c>
      <x:c r="L115" s="3" t="str">
        <x:v>仅搜索结果，待核对</x:v>
      </x:c>
      <x:c r="M115" s="8" t="e">
        <x:f>HYPERLINK(N115,"打开来源")</x:f>
        <x:v>HYPERLINK is not implemented. linkLocation=https://uia2026bcn.org/wp-content/uploads/2026/02/UIA_JuryReport.pdf, friendlyName=打开来源</x:v>
      </x:c>
      <x:c r="N115" s="3" t="str">
        <x:v>https://uia2026bcn.org/wp-content/uploads/2026/02/UIA_JuryReport.pdf</x:v>
      </x:c>
      <x:c r="O115" s="3" t="str">
        <x:v>官方PDF由搜索结果定位，本次直接打开失败，未完成报告全文核查。</x:v>
      </x:c>
      <x:c r="P115" s="9" t="n">
        <x:v>46298</x:v>
      </x:c>
    </x:row>
    <x:row r="116" ht="44" customHeight="1">
      <x:c r="A116" s="3" t="n">
        <x:v>115</x:v>
      </x:c>
      <x:c r="B116" s="3" t="str">
        <x:v>2026050</x:v>
      </x:c>
      <x:c r="C116" s="3" t="str">
        <x:v>UIA 世界大学生建筑设计竞赛</x:v>
      </x:c>
      <x:c r="D116" s="3" t="str">
        <x:v>UIA2026竞赛答疑</x:v>
      </x:c>
      <x:c r="E116" s="3" t="str">
        <x:v>规则与模板</x:v>
      </x:c>
      <x:c r="F116" s="3" t="str">
        <x:v>UIA2026 Barcelona</x:v>
      </x:c>
      <x:c r="G116" s="3" t="str">
        <x:v>通用</x:v>
      </x:c>
      <x:c r="H116" s="3" t="str">
        <x:v>2026任务书补充解释</x:v>
      </x:c>
      <x:c r="I116" s="3" t="str">
        <x:v>与原任务书一起核对注册和提交要求。</x:v>
      </x:c>
      <x:c r="J116" s="3" t="str">
        <x:v>免费公开</x:v>
      </x:c>
      <x:c r="K116" s="3" t="str">
        <x:v>search_result</x:v>
      </x:c>
      <x:c r="L116" s="3" t="str">
        <x:v>仅搜索结果，待核对</x:v>
      </x:c>
      <x:c r="M116" s="8" t="e">
        <x:f>HYPERLINK(N116,"打开来源")</x:f>
        <x:v>HYPERLINK is not implemented. linkLocation=https://uia2026bcn.org/wp-content/uploads/2025/09/Catalysts-Competition-Answers.pdf, friendlyName=打开来源</x:v>
      </x:c>
      <x:c r="N116" s="3" t="str">
        <x:v>https://uia2026bcn.org/wp-content/uploads/2025/09/Catalysts-Competition-Answers.pdf</x:v>
      </x:c>
      <x:c r="O116" s="3" t="str">
        <x:v>官方PDF搜索结果含报名信息说明；正文未完整读取。</x:v>
      </x:c>
      <x:c r="P116" s="9" t="n">
        <x:v>46298</x:v>
      </x:c>
    </x:row>
    <x:row r="117" ht="44" customHeight="1">
      <x:c r="A117" s="3" t="n">
        <x:v>116</x:v>
      </x:c>
      <x:c r="B117" s="3" t="str">
        <x:v>2026051</x:v>
      </x:c>
      <x:c r="C117" s="3" t="str">
        <x:v>UIA-霍普杯国际大学生建筑设计竞赛</x:v>
      </x:c>
      <x:c r="D117" s="3" t="str">
        <x:v>2026竞赛题目与设计背景</x:v>
      </x:c>
      <x:c r="E117" s="3" t="str">
        <x:v>赛题</x:v>
      </x:c>
      <x:c r="F117" s="3" t="str">
        <x:v>霍普杯／UED</x:v>
      </x:c>
      <x:c r="G117" s="3" t="str">
        <x:v>通用</x:v>
      </x:c>
      <x:c r="H117" s="3" t="str">
        <x:v>2026何以栖居主题</x:v>
      </x:c>
      <x:c r="I117" s="3" t="str">
        <x:v>先用任务书界定设计问题、社区尺度及生态与社会目标。</x:v>
      </x:c>
      <x:c r="J117" s="3" t="str">
        <x:v>免费公开</x:v>
      </x:c>
      <x:c r="K117" s="3" t="str">
        <x:v>page_read</x:v>
      </x:c>
      <x:c r="L117" s="3" t="str">
        <x:v>已读来源页面</x:v>
      </x:c>
      <x:c r="M117" s="8" t="e">
        <x:f>HYPERLINK(N117,"打开来源")</x:f>
        <x:v>HYPERLINK is not implemented. linkLocation=https://hypcup.uedmagazine.net/index.php?a=index&amp;c=Lists&amp;m=home&amp;tid=33, friendlyName=打开来源</x:v>
      </x:c>
      <x:c r="N117" s="3" t="str">
        <x:v>https://hypcup.uedmagazine.net/index.php?a=index&amp;c=Lists&amp;m=home&amp;tid=33</x:v>
      </x:c>
      <x:c r="O117" s="3" t="str">
        <x:v>主题说明讨论城市、郊区、乡村中的共同生活与在地表达。</x:v>
      </x:c>
      <x:c r="P117" s="9" t="n">
        <x:v>46298</x:v>
      </x:c>
    </x:row>
    <x:row r="118" ht="44" customHeight="1">
      <x:c r="A118" s="3" t="n">
        <x:v>117</x:v>
      </x:c>
      <x:c r="B118" s="3" t="str">
        <x:v>2026051</x:v>
      </x:c>
      <x:c r="C118" s="3" t="str">
        <x:v>UIA-霍普杯国际大学生建筑设计竞赛</x:v>
      </x:c>
      <x:c r="D118" s="3" t="str">
        <x:v>2026图纸与作品提交规格</x:v>
      </x:c>
      <x:c r="E118" s="3" t="str">
        <x:v>规则与模板</x:v>
      </x:c>
      <x:c r="F118" s="3" t="str">
        <x:v>霍普杯／UED</x:v>
      </x:c>
      <x:c r="G118" s="3" t="str">
        <x:v>通用</x:v>
      </x:c>
      <x:c r="H118" s="3" t="str">
        <x:v>2026作品表达与交付</x:v>
      </x:c>
      <x:c r="I118" s="3" t="str">
        <x:v>根据A1图纸、影片和说明要求安排表达材料，避免临近提交返工。</x:v>
      </x:c>
      <x:c r="J118" s="3" t="str">
        <x:v>免费公开</x:v>
      </x:c>
      <x:c r="K118" s="3" t="str">
        <x:v>page_read</x:v>
      </x:c>
      <x:c r="L118" s="3" t="str">
        <x:v>已读来源页面</x:v>
      </x:c>
      <x:c r="M118" s="8" t="e">
        <x:f>HYPERLINK(N118,"打开来源")</x:f>
        <x:v>HYPERLINK is not implemented. linkLocation=https://hypcup.uedmagazine.net/index.php?a=index&amp;c=Lists&amp;m=home&amp;tid=41, friendlyName=打开来源</x:v>
      </x:c>
      <x:c r="N118" s="3" t="str">
        <x:v>https://hypcup.uedmagazine.net/index.php?a=index&amp;c=Lists&amp;m=home&amp;tid=41</x:v>
      </x:c>
      <x:c r="O118" s="3" t="str">
        <x:v>页面明确3幅横向A1图纸、英文表达与原创声明等要求。</x:v>
      </x:c>
      <x:c r="P118" s="9" t="n">
        <x:v>46298</x:v>
      </x:c>
    </x:row>
    <x:row r="119" ht="44" customHeight="1">
      <x:c r="A119" s="3" t="n">
        <x:v>118</x:v>
      </x:c>
      <x:c r="B119" s="3" t="str">
        <x:v>2026052</x:v>
      </x:c>
      <x:c r="C119" s="3" t="str">
        <x:v>WUPENICITY城市可持续调研报告国际竞赛（智慧低碳交通）</x:v>
      </x:c>
      <x:c r="D119" s="3" t="str">
        <x:v>2026可持续调研报告获奖选题与展示</x:v>
      </x:c>
      <x:c r="E119" s="3" t="str">
        <x:v>作品案例</x:v>
      </x:c>
      <x:c r="F119" s="3" t="str">
        <x:v>北京建筑大学</x:v>
      </x:c>
      <x:c r="G119" s="3" t="str">
        <x:v>入门</x:v>
      </x:c>
      <x:c r="H119" s="3" t="str">
        <x:v>2026调研报告；不专指低碳交通</x:v>
      </x:c>
      <x:c r="I119" s="3" t="str">
        <x:v>学习把城市服务、使用人群和空间问题转化为可调查的选题。</x:v>
      </x:c>
      <x:c r="J119" s="3" t="str">
        <x:v>免费公开</x:v>
      </x:c>
      <x:c r="K119" s="3" t="str">
        <x:v>page_read</x:v>
      </x:c>
      <x:c r="L119" s="3" t="str">
        <x:v>已读来源页面</x:v>
      </x:c>
      <x:c r="M119" s="8" t="e">
        <x:f>HYPERLINK(N119,"打开来源")</x:f>
        <x:v>HYPERLINK is not implemented. linkLocation=https://jzxy.bucea.edu.cn/xyxx/xwxx/406ddd84682d47ada32b7e8bb69d80c5.htm, friendlyName=打开来源</x:v>
      </x:c>
      <x:c r="N119" s="3" t="str">
        <x:v>https://jzxy.bucea.edu.cn/xyxx/xwxx/406ddd84682d47ada32b7e8bb69d80c5.htm</x:v>
      </x:c>
      <x:c r="O119" s="3" t="str">
        <x:v>包含公园花粉风险、医院陪护空间和养老助餐服务等获奖选题，不能视为完整原始数据。</x:v>
      </x:c>
      <x:c r="P119" s="9" t="n">
        <x:v>46298</x:v>
      </x:c>
    </x:row>
    <x:row r="120" ht="44" customHeight="1">
      <x:c r="A120" s="3" t="n">
        <x:v>119</x:v>
      </x:c>
      <x:c r="B120" s="3" t="str">
        <x:v>2026052</x:v>
      </x:c>
      <x:c r="C120" s="3" t="str">
        <x:v>WUPENICITY城市可持续调研报告国际竞赛（智慧低碳交通）</x:v>
      </x:c>
      <x:c r="D120" s="3" t="str">
        <x:v>QGIS基础制图实训</x:v>
      </x:c>
      <x:c r="E120" s="3" t="str">
        <x:v>课程与指南</x:v>
      </x:c>
      <x:c r="F120" s="3" t="str">
        <x:v>QGIS项目</x:v>
      </x:c>
      <x:c r="G120" s="3" t="str">
        <x:v>入门</x:v>
      </x:c>
      <x:c r="H120" s="3" t="str">
        <x:v>城市调研与场地分析通用工具；非竞赛指定课程</x:v>
      </x:c>
      <x:c r="I120" s="3" t="str">
        <x:v>学习加载空间数据、图层组织和地图符号表达，为调研证据制图。</x:v>
      </x:c>
      <x:c r="J120" s="3" t="str">
        <x:v>免费公开</x:v>
      </x:c>
      <x:c r="K120" s="3" t="str">
        <x:v>page_read</x:v>
      </x:c>
      <x:c r="L120" s="3" t="str">
        <x:v>已读来源页面</x:v>
      </x:c>
      <x:c r="M120" s="8" t="e">
        <x:f>HYPERLINK(N120,"打开来源")</x:f>
        <x:v>HYPERLINK is not implemented. linkLocation=https://docs.qgis.org/3.44/en/docs/training_manual/basic_map/index.html, friendlyName=打开来源</x:v>
      </x:c>
      <x:c r="N120" s="3" t="str">
        <x:v>https://docs.qgis.org/3.44/en/docs/training_manual/basic_map/index.html</x:v>
      </x:c>
      <x:c r="O120" s="3" t="str">
        <x:v>QGIS 3.44官方训练手册具体章节，含跟做任务及练习。</x:v>
      </x:c>
      <x:c r="P120" s="9" t="n">
        <x:v>46298</x:v>
      </x:c>
    </x:row>
    <x:row r="121" ht="44" customHeight="1">
      <x:c r="A121" s="3" t="n">
        <x:v>120</x:v>
      </x:c>
      <x:c r="B121" s="3" t="str">
        <x:v>2026053</x:v>
      </x:c>
      <x:c r="C121" s="3" t="str">
        <x:v>WUPENICITY城市设计学生作业国际竞赛</x:v>
      </x:c>
      <x:c r="D121" s="3" t="str">
        <x:v>北京建筑大学2026城市设计作品展示</x:v>
      </x:c>
      <x:c r="E121" s="3" t="str">
        <x:v>作品案例</x:v>
      </x:c>
      <x:c r="F121" s="3" t="str">
        <x:v>北京建筑大学</x:v>
      </x:c>
      <x:c r="G121" s="3" t="str">
        <x:v>进阶</x:v>
      </x:c>
      <x:c r="H121" s="3" t="str">
        <x:v>2026城市设计单元</x:v>
      </x:c>
      <x:c r="I121" s="3" t="str">
        <x:v>参考文化资源、生态系统与智慧治理如何形成设计逻辑。</x:v>
      </x:c>
      <x:c r="J121" s="3" t="str">
        <x:v>免费公开</x:v>
      </x:c>
      <x:c r="K121" s="3" t="str">
        <x:v>page_read</x:v>
      </x:c>
      <x:c r="L121" s="3" t="str">
        <x:v>已读来源页面</x:v>
      </x:c>
      <x:c r="M121" s="8" t="e">
        <x:f>HYPERLINK(N121,"打开来源")</x:f>
        <x:v>HYPERLINK is not implemented. linkLocation=https://jzxy.bucea.edu.cn/xyxx/xwxx/406ddd84682d47ada32b7e8bb69d80c5.htm, friendlyName=打开来源</x:v>
      </x:c>
      <x:c r="N121" s="3" t="str">
        <x:v>https://jzxy.bucea.edu.cn/xyxx/xwxx/406ddd84682d47ada32b7e8bb69d80c5.htm</x:v>
      </x:c>
      <x:c r="O121" s="3" t="str">
        <x:v>文章含杨柳青等方案设计说明与图示；仅学习方法，不复制参赛作品。</x:v>
      </x:c>
      <x:c r="P121" s="9" t="n">
        <x:v>46298</x:v>
      </x:c>
    </x:row>
    <x:row r="122" ht="44" customHeight="1">
      <x:c r="A122" s="3" t="n">
        <x:v>121</x:v>
      </x:c>
      <x:c r="B122" s="3" t="str">
        <x:v>2026053</x:v>
      </x:c>
      <x:c r="C122" s="3" t="str">
        <x:v>WUPENICITY城市设计学生作业国际竞赛</x:v>
      </x:c>
      <x:c r="D122" s="3" t="str">
        <x:v>滨海片区HAI家园设计教学案例</x:v>
      </x:c>
      <x:c r="E122" s="3" t="str">
        <x:v>作品案例</x:v>
      </x:c>
      <x:c r="F122" s="3" t="str">
        <x:v>华侨大学建筑学院</x:v>
      </x:c>
      <x:c r="G122" s="3" t="str">
        <x:v>入门</x:v>
      </x:c>
      <x:c r="H122" s="3" t="str">
        <x:v>2026滨海更新与智慧城市设计</x:v>
      </x:c>
      <x:c r="I122" s="3" t="str">
        <x:v>了解课程项目如何结合环境更新、生态修复及数字技术。</x:v>
      </x:c>
      <x:c r="J122" s="3" t="str">
        <x:v>免费公开</x:v>
      </x:c>
      <x:c r="K122" s="3" t="str">
        <x:v>page_read</x:v>
      </x:c>
      <x:c r="L122" s="3" t="str">
        <x:v>已读来源页面</x:v>
      </x:c>
      <x:c r="M122" s="8" t="e">
        <x:f>HYPERLINK(N122,"打开来源")</x:f>
        <x:v>HYPERLINK is not implemented. linkLocation=https://news.hqu.edu.cn/info/1019/435542.htm, friendlyName=打开来源</x:v>
      </x:c>
      <x:c r="N122" s="3" t="str">
        <x:v>https://news.hqu.edu.cn/info/1019/435542.htm</x:v>
      </x:c>
      <x:c r="O122" s="3" t="str">
        <x:v>大学官方报道说明两项获奖作品来源与课程实施方向，未附完整过程文件。</x:v>
      </x:c>
      <x:c r="P122" s="9" t="n">
        <x:v>46298</x:v>
      </x:c>
    </x:row>
    <x:row r="123" ht="44" customHeight="1">
      <x:c r="A123" s="3" t="n">
        <x:v>122</x:v>
      </x:c>
      <x:c r="B123" s="3" t="str">
        <x:v>2026053</x:v>
      </x:c>
      <x:c r="C123" s="3" t="str">
        <x:v>WUPENICITY城市设计学生作业国际竞赛</x:v>
      </x:c>
      <x:c r="D123" s="3" t="str">
        <x:v>QGIS基础制图实训</x:v>
      </x:c>
      <x:c r="E123" s="3" t="str">
        <x:v>课程与指南</x:v>
      </x:c>
      <x:c r="F123" s="3" t="str">
        <x:v>QGIS项目</x:v>
      </x:c>
      <x:c r="G123" s="3" t="str">
        <x:v>入门</x:v>
      </x:c>
      <x:c r="H123" s="3" t="str">
        <x:v>城市调研与场地分析通用工具；非竞赛指定课程</x:v>
      </x:c>
      <x:c r="I123" s="3" t="str">
        <x:v>学习加载空间数据、图层组织和地图符号表达，为调研证据制图。</x:v>
      </x:c>
      <x:c r="J123" s="3" t="str">
        <x:v>免费公开</x:v>
      </x:c>
      <x:c r="K123" s="3" t="str">
        <x:v>page_read</x:v>
      </x:c>
      <x:c r="L123" s="3" t="str">
        <x:v>已读来源页面</x:v>
      </x:c>
      <x:c r="M123" s="8" t="e">
        <x:f>HYPERLINK(N123,"打开来源")</x:f>
        <x:v>HYPERLINK is not implemented. linkLocation=https://docs.qgis.org/3.44/en/docs/training_manual/basic_map/index.html, friendlyName=打开来源</x:v>
      </x:c>
      <x:c r="N123" s="3" t="str">
        <x:v>https://docs.qgis.org/3.44/en/docs/training_manual/basic_map/index.html</x:v>
      </x:c>
      <x:c r="O123" s="3" t="str">
        <x:v>QGIS 3.44官方训练手册具体章节，含跟做任务及练习。</x:v>
      </x:c>
      <x:c r="P123" s="9" t="n">
        <x:v>46298</x:v>
      </x:c>
    </x:row>
    <x:row r="124" ht="44" customHeight="1">
      <x:c r="A124" s="3" t="n">
        <x:v>123</x:v>
      </x:c>
      <x:c r="B124" s="3" t="str">
        <x:v>2026054</x:v>
      </x:c>
      <x:c r="C124" s="3" t="str">
        <x:v>全国大学生花园设计建造竞赛</x:v>
      </x:c>
      <x:c r="D124" s="3" t="str">
        <x:v>2026社区花园任务与成果要求</x:v>
      </x:c>
      <x:c r="E124" s="3" t="str">
        <x:v>规则与模板</x:v>
      </x:c>
      <x:c r="F124" s="3" t="str">
        <x:v>社区花园赛道组委会</x:v>
      </x:c>
      <x:c r="G124" s="3" t="str">
        <x:v>通用</x:v>
      </x:c>
      <x:c r="H124" s="3" t="str">
        <x:v>2026社区花园赛道</x:v>
      </x:c>
      <x:c r="I124" s="3" t="str">
        <x:v>依据材料、运维、展板和汇报要求制定实践与记录计划。</x:v>
      </x:c>
      <x:c r="J124" s="3" t="str">
        <x:v>免费公开</x:v>
      </x:c>
      <x:c r="K124" s="3" t="str">
        <x:v>page_read</x:v>
      </x:c>
      <x:c r="L124" s="3" t="str">
        <x:v>已读来源页面</x:v>
      </x:c>
      <x:c r="M124" s="8" t="e">
        <x:f>HYPERLINK(N124,"打开来源")</x:f>
        <x:v>HYPERLINK is not implemented. linkLocation=https://landscape-caup.tongji.edu.cn/c8/f4/c10586a379124/page.htm, friendlyName=打开来源</x:v>
      </x:c>
      <x:c r="N124" s="3" t="str">
        <x:v>https://landscape-caup.tongji.edu.cn/c8/f4/c10586a379124/page.htm</x:v>
      </x:c>
      <x:c r="O124" s="3" t="str">
        <x:v>任务要求真实设计建造、持续运维，成果含展板、汇报、视频和照片。</x:v>
      </x:c>
      <x:c r="P124" s="9" t="n">
        <x:v>46298</x:v>
      </x:c>
    </x:row>
    <x:row r="125" ht="44" customHeight="1">
      <x:c r="A125" s="3" t="n">
        <x:v>124</x:v>
      </x:c>
      <x:c r="B125" s="3" t="str">
        <x:v>2026054</x:v>
      </x:c>
      <x:c r="C125" s="3" t="str">
        <x:v>全国大学生花园设计建造竞赛</x:v>
      </x:c>
      <x:c r="D125" s="3" t="str">
        <x:v>2025社区花园获奖作品及评语</x:v>
      </x:c>
      <x:c r="E125" s="3" t="str">
        <x:v>作品案例</x:v>
      </x:c>
      <x:c r="F125" s="3" t="str">
        <x:v>同济大学景观学系／竞赛组委会</x:v>
      </x:c>
      <x:c r="G125" s="3" t="str">
        <x:v>进阶</x:v>
      </x:c>
      <x:c r="H125" s="3" t="str">
        <x:v>往届社区营造方法</x:v>
      </x:c>
      <x:c r="I125" s="3" t="str">
        <x:v>学习居民参与、植物配置、生态教育和运维机制的评价角度。</x:v>
      </x:c>
      <x:c r="J125" s="3" t="str">
        <x:v>免费公开</x:v>
      </x:c>
      <x:c r="K125" s="3" t="str">
        <x:v>page_read</x:v>
      </x:c>
      <x:c r="L125" s="3" t="str">
        <x:v>已读来源页面</x:v>
      </x:c>
      <x:c r="M125" s="8" t="e">
        <x:f>HYPERLINK(N125,"打开来源")</x:f>
        <x:v>HYPERLINK is not implemented. linkLocation=https://landscape-caup.tongji.edu.cn/9d/77/c10586a367991/page.htm, friendlyName=打开来源</x:v>
      </x:c>
      <x:c r="N125" s="3" t="str">
        <x:v>https://landscape-caup.tongji.edu.cn/9d/77/c10586a367991/page.htm</x:v>
      </x:c>
      <x:c r="O125" s="3" t="str">
        <x:v>2026年1月发布的2025赛事作品展示，含12组获奖方案及获奖理由。</x:v>
      </x:c>
      <x:c r="P125" s="9" t="n">
        <x:v>46298</x:v>
      </x:c>
    </x:row>
    <x:row r="126" ht="44" customHeight="1">
      <x:c r="A126" s="3" t="n">
        <x:v>125</x:v>
      </x:c>
      <x:c r="B126" s="3" t="str">
        <x:v>2026055</x:v>
      </x:c>
      <x:c r="C126" s="3" t="str">
        <x:v>全国数字建筑创新应用大赛</x:v>
      </x:c>
      <x:c r="D126" s="3" t="str">
        <x:v>2026竞赛内容与官方备赛安排</x:v>
      </x:c>
      <x:c r="E126" s="3" t="str">
        <x:v>规则与模板</x:v>
      </x:c>
      <x:c r="F126" s="3" t="str">
        <x:v>中国建设教育协会</x:v>
      </x:c>
      <x:c r="G126" s="3" t="str">
        <x:v>入门</x:v>
      </x:c>
      <x:c r="H126" s="3" t="str">
        <x:v>2026三个赛项</x:v>
      </x:c>
      <x:c r="I126" s="3" t="str">
        <x:v>确定报考科目，按官方学练资源安排准备对应软件操作。</x:v>
      </x:c>
      <x:c r="J126" s="3" t="str">
        <x:v>免费公开</x:v>
      </x:c>
      <x:c r="K126" s="3" t="str">
        <x:v>page_read</x:v>
      </x:c>
      <x:c r="L126" s="3" t="str">
        <x:v>已读来源页面</x:v>
      </x:c>
      <x:c r="M126" s="8" t="e">
        <x:f>HYPERLINK(N126,"打开来源")</x:f>
        <x:v>HYPERLINK is not implemented. linkLocation=https://www.ccen.com.cn/info/1150/5937.htm, friendlyName=打开来源</x:v>
      </x:c>
      <x:c r="N126" s="3" t="str">
        <x:v>https://www.ccen.com.cn/info/1150/5937.htm</x:v>
      </x:c>
      <x:c r="O126" s="3" t="str">
        <x:v>通知明确官网提供课程、答疑和练习题，软件需报名审核后授权；页面免费，实际学练访问条件需确认。</x:v>
      </x:c>
      <x:c r="P126" s="9" t="n">
        <x:v>46298</x:v>
      </x:c>
    </x:row>
    <x:row r="127" ht="50" customHeight="1">
      <x:c r="A127" s="3" t="n">
        <x:v>126</x:v>
      </x:c>
      <x:c r="B127" s="3" t="str">
        <x:v>2026055</x:v>
      </x:c>
      <x:c r="C127" s="3" t="str">
        <x:v>全国数字建筑创新应用大赛</x:v>
      </x:c>
      <x:c r="D127" s="3" t="str">
        <x:v>2026报名与软件授权操作指南</x:v>
      </x:c>
      <x:c r="E127" s="3" t="str">
        <x:v>规则与模板</x:v>
      </x:c>
      <x:c r="F127" s="3" t="str">
        <x:v>中国建设教育协会／广联达</x:v>
      </x:c>
      <x:c r="G127" s="3" t="str">
        <x:v>通用</x:v>
      </x:c>
      <x:c r="H127" s="3" t="str">
        <x:v>2026报名和备赛环境准备</x:v>
      </x:c>
      <x:c r="I127" s="3" t="str">
        <x:v>了解团队、学生信息及云加密锁发放步骤，提前准备合法软件环境。</x:v>
      </x:c>
      <x:c r="J127" s="3" t="str">
        <x:v>免费公开</x:v>
      </x:c>
      <x:c r="K127" s="3" t="str">
        <x:v>page_read</x:v>
      </x:c>
      <x:c r="L127" s="3" t="str">
        <x:v>已读来源页面</x:v>
      </x:c>
      <x:c r="M127" s="8" t="e">
        <x:f>HYPERLINK(N127,"打开来源")</x:f>
        <x:v>HYPERLINK is not implemented. linkLocation=https://static-cdn.glodonedu.com/dasai/xs/2026-xs/建教协2026-32号_附件5：2026年全国数字建筑创新应用大赛报名指南[1].pdf, friendlyName=打开来源</x:v>
      </x:c>
      <x:c r="N127" s="3" t="str">
        <x:v>https://static-cdn.glodonedu.com/dasai/xs/2026-xs/建教协2026-32号_附件5：2026年全国数字建筑创新应用大赛报名指南[1].pdf</x:v>
      </x:c>
      <x:c r="O127" s="3" t="str">
        <x:v>15页官方PDF已读取，说明教师建队、学生信息完善、审核及软件云锁。</x:v>
      </x:c>
      <x:c r="P127" s="9" t="n">
        <x:v>46298</x:v>
      </x:c>
    </x:row>
    <x:row r="128" ht="44" customHeight="1">
      <x:c r="A128" s="3" t="n">
        <x:v>127</x:v>
      </x:c>
      <x:c r="B128" s="3" t="str">
        <x:v>2026056</x:v>
      </x:c>
      <x:c r="C128" s="3" t="str">
        <x:v>亚洲建筑师协会学生设计竞赛</x:v>
      </x:c>
      <x:c r="D128" s="3" t="str">
        <x:v>2026学生设计竞赛规则下载入口</x:v>
      </x:c>
      <x:c r="E128" s="3" t="str">
        <x:v>规则与模板</x:v>
      </x:c>
      <x:c r="F128" s="3" t="str">
        <x:v>ARCASIA</x:v>
      </x:c>
      <x:c r="G128" s="3" t="str">
        <x:v>通用</x:v>
      </x:c>
      <x:c r="H128" s="3" t="str">
        <x:v>2026学生设计竞赛</x:v>
      </x:c>
      <x:c r="I128" s="3" t="str">
        <x:v>参加前须先读取本届规则，不沿用往届主题与资格。</x:v>
      </x:c>
      <x:c r="J128" s="3" t="str">
        <x:v>待确认</x:v>
      </x:c>
      <x:c r="K128" s="3" t="str">
        <x:v>official_index</x:v>
      </x:c>
      <x:c r="L128" s="3" t="str">
        <x:v>已确认索引或入口</x:v>
      </x:c>
      <x:c r="M128" s="8" t="e">
        <x:f>HYPERLINK(N128,"打开来源")</x:f>
        <x:v>HYPERLINK is not implemented. linkLocation=https://arcasia.org/awards/arcasia-students-architectural-design-competition-2026/, friendlyName=打开来源</x:v>
      </x:c>
      <x:c r="N128" s="3" t="str">
        <x:v>https://arcasia.org/awards/arcasia-students-architectural-design-competition-2026/</x:v>
      </x:c>
      <x:c r="O128" s="3" t="str">
        <x:v>官方索引和搜索结果确认页面附Rules &amp; Conditions；未读PDF正文。</x:v>
      </x:c>
      <x:c r="P128" s="9" t="n">
        <x:v>46298</x:v>
      </x:c>
    </x:row>
    <x:row r="129" ht="44" customHeight="1">
      <x:c r="A129" s="3" t="n">
        <x:v>128</x:v>
      </x:c>
      <x:c r="B129" s="3" t="str">
        <x:v>2026056</x:v>
      </x:c>
      <x:c r="C129" s="3" t="str">
        <x:v>亚洲建筑师协会学生设计竞赛</x:v>
      </x:c>
      <x:c r="D129" s="3" t="str">
        <x:v>2023学生设计竞赛获奖作品</x:v>
      </x:c>
      <x:c r="E129" s="3" t="str">
        <x:v>作品案例</x:v>
      </x:c>
      <x:c r="F129" s="3" t="str">
        <x:v>ARCASIA</x:v>
      </x:c>
      <x:c r="G129" s="3" t="str">
        <x:v>入门</x:v>
      </x:c>
      <x:c r="H129" s="3" t="str">
        <x:v>往届学生建筑设计参考</x:v>
      </x:c>
      <x:c r="I129" s="3" t="str">
        <x:v>比较社区图书馆、村落、城市农场等题材的获奖项目。</x:v>
      </x:c>
      <x:c r="J129" s="3" t="str">
        <x:v>免费公开</x:v>
      </x:c>
      <x:c r="K129" s="3" t="str">
        <x:v>page_read</x:v>
      </x:c>
      <x:c r="L129" s="3" t="str">
        <x:v>已读来源页面</x:v>
      </x:c>
      <x:c r="M129" s="8" t="e">
        <x:f>HYPERLINK(N129,"打开来源")</x:f>
        <x:v>HYPERLINK is not implemented. linkLocation=https://arcasia.org/awards/winners-arcasia-student-design-competition-2023-sdc2023/, friendlyName=打开来源</x:v>
      </x:c>
      <x:c r="N129" s="3" t="str">
        <x:v>https://arcasia.org/awards/winners-arcasia-student-design-competition-2023-sdc2023/</x:v>
      </x:c>
      <x:c r="O129" s="3" t="str">
        <x:v>官方获奖页列金、银、铜奖作品与院校，不是2026评判或报名规则。</x:v>
      </x:c>
      <x:c r="P129" s="9" t="n">
        <x:v>46298</x:v>
      </x:c>
    </x:row>
    <x:row r="130" ht="50" customHeight="1">
      <x:c r="A130" s="3" t="n">
        <x:v>129</x:v>
      </x:c>
      <x:c r="B130" s="3" t="str">
        <x:v>2026056</x:v>
      </x:c>
      <x:c r="C130" s="3" t="str">
        <x:v>亚洲建筑师协会学生设计竞赛</x:v>
      </x:c>
      <x:c r="D130" s="3" t="str">
        <x:v>2020学生竞赛获奖作品电子书入口</x:v>
      </x:c>
      <x:c r="E130" s="3" t="str">
        <x:v>作品案例</x:v>
      </x:c>
      <x:c r="F130" s="3" t="str">
        <x:v>ARCASIA</x:v>
      </x:c>
      <x:c r="G130" s="3" t="str">
        <x:v>进阶</x:v>
      </x:c>
      <x:c r="H130" s="3" t="str">
        <x:v>韧性设计方法与往届方案参考</x:v>
      </x:c>
      <x:c r="I130" s="3" t="str">
        <x:v>通过获奖作品集理解建筑韧性方案表达。</x:v>
      </x:c>
      <x:c r="J130" s="3" t="str">
        <x:v>待确认</x:v>
      </x:c>
      <x:c r="K130" s="3" t="str">
        <x:v>page_read</x:v>
      </x:c>
      <x:c r="L130" s="3" t="str">
        <x:v>已读来源页面</x:v>
      </x:c>
      <x:c r="M130" s="8" t="e">
        <x:f>HYPERLINK(N130,"打开来源")</x:f>
        <x:v>HYPERLINK is not implemented. linkLocation=https://arcasia.org/awards/2020-student-competition-winners-ebook-a-compendium-of-resilience-by-design/, friendlyName=打开来源</x:v>
      </x:c>
      <x:c r="N130" s="3" t="str">
        <x:v>https://arcasia.org/awards/2020-student-competition-winners-ebook-a-compendium-of-resilience-by-design/</x:v>
      </x:c>
      <x:c r="O130" s="3" t="str">
        <x:v>官方电子书介绍页已打开，电子书外部阅读端和下载条件未进一步核查。</x:v>
      </x:c>
      <x:c r="P130" s="9" t="n">
        <x:v>46298</x:v>
      </x:c>
    </x:row>
    <x:row r="131" ht="50" customHeight="1">
      <x:c r="A131" s="3" t="n">
        <x:v>130</x:v>
      </x:c>
      <x:c r="B131" s="3" t="str">
        <x:v>2026057</x:v>
      </x:c>
      <x:c r="C131" s="3" t="str">
        <x:v>第十届全国大学生物流设计大赛</x:v>
      </x:c>
      <x:c r="D131" s="3" t="str">
        <x:v>第九届全国大学生物流设计大赛案例（100页）</x:v>
      </x:c>
      <x:c r="E131" s="3" t="str">
        <x:v>赛题</x:v>
      </x:c>
      <x:c r="F131" s="3" t="str">
        <x:v>赛事案例资料／常州大学官网附件</x:v>
      </x:c>
      <x:c r="G131" s="3" t="str">
        <x:v>进阶</x:v>
      </x:c>
      <x:c r="H131" s="3" t="str">
        <x:v>第九届案例学习；第十届备赛基础</x:v>
      </x:c>
      <x:c r="I131" s="3" t="str">
        <x:v>从真实物流约束提炼目标函数、调度策略与落地方案。</x:v>
      </x:c>
      <x:c r="J131" s="3" t="str">
        <x:v>免费公开</x:v>
      </x:c>
      <x:c r="K131" s="3" t="str">
        <x:v>page_read</x:v>
      </x:c>
      <x:c r="L131" s="3" t="str">
        <x:v>已读来源页面</x:v>
      </x:c>
      <x:c r="M131" s="8" t="e">
        <x:f>HYPERLINK(N131,"打开来源")</x:f>
        <x:v>HYPERLINK is not implemented. linkLocation=https://jgy.cczu.edu.cn/_upload/article/files/f4/16/e8fd08ca483e8100578583e33038/c2ac27af-bd9d-4413-9676-18edb35fb12c.pdf, friendlyName=打开来源</x:v>
      </x:c>
      <x:c r="N131" s="3" t="str">
        <x:v>https://jgy.cczu.edu.cn/_upload/article/files/f4/16/e8fd08ca483e8100578583e33038/c2ac27af-bd9d-4413-9676-18edb35fb12c.pdf</x:v>
      </x:c>
      <x:c r="O131" s="3" t="str">
        <x:v>完整PDF包括仓储机器人调度、穿梭车、出库排序等案例；属往届材料，不是已确认的第十届赛题。</x:v>
      </x:c>
      <x:c r="P131" s="9" t="n">
        <x:v>46298</x:v>
      </x:c>
    </x:row>
    <x:row r="132" ht="44" customHeight="1">
      <x:c r="A132" s="3" t="n">
        <x:v>131</x:v>
      </x:c>
      <x:c r="B132" s="3" t="str">
        <x:v>2026057</x:v>
      </x:c>
      <x:c r="C132" s="3" t="str">
        <x:v>第十届全国大学生物流设计大赛</x:v>
      </x:c>
      <x:c r="D132" s="3" t="str">
        <x:v>OR-Tools车辆路径问题教程</x:v>
      </x:c>
      <x:c r="E132" s="3" t="str">
        <x:v>课程与指南</x:v>
      </x:c>
      <x:c r="F132" s="3" t="str">
        <x:v>Google OR-Tools</x:v>
      </x:c>
      <x:c r="G132" s="3" t="str">
        <x:v>入门</x:v>
      </x:c>
      <x:c r="H132" s="3" t="str">
        <x:v>配送路径与物流优化方向，非赛事指定工具</x:v>
      </x:c>
      <x:c r="I132" s="3" t="str">
        <x:v>学习把多车辆配送问题写成可求解模型。</x:v>
      </x:c>
      <x:c r="J132" s="3" t="str">
        <x:v>免费公开</x:v>
      </x:c>
      <x:c r="K132" s="3" t="str">
        <x:v>page_read</x:v>
      </x:c>
      <x:c r="L132" s="3" t="str">
        <x:v>已读来源页面</x:v>
      </x:c>
      <x:c r="M132" s="8" t="e">
        <x:f>HYPERLINK(N132,"打开来源")</x:f>
        <x:v>HYPERLINK is not implemented. linkLocation=https://developers.google.com/optimization/routing/vrp, friendlyName=打开来源</x:v>
      </x:c>
      <x:c r="N132" s="3" t="str">
        <x:v>https://developers.google.com/optimization/routing/vrp</x:v>
      </x:c>
      <x:c r="O132" s="3" t="str">
        <x:v>官方教程展示车辆路径问题、距离矩阵和求解过程，提供编程示例；可作为案例建模工具入门。</x:v>
      </x:c>
      <x:c r="P132" s="9" t="n">
        <x:v>46298</x:v>
      </x:c>
    </x:row>
    <x:row r="133" ht="44" customHeight="1">
      <x:c r="A133" s="3" t="n">
        <x:v>132</x:v>
      </x:c>
      <x:c r="B133" s="3" t="str">
        <x:v>2026058</x:v>
      </x:c>
      <x:c r="C133" s="3" t="str">
        <x:v>第十届全国高校智能交通创新与创业大赛</x:v>
      </x:c>
      <x:c r="D133" s="3" t="str">
        <x:v>附件2：作品说明书</x:v>
      </x:c>
      <x:c r="E133" s="3" t="str">
        <x:v>规则与模板</x:v>
      </x:c>
      <x:c r="F133" s="3" t="str">
        <x:v>大赛官网</x:v>
      </x:c>
      <x:c r="G133" s="3" t="str">
        <x:v>入门</x:v>
      </x:c>
      <x:c r="H133" s="3" t="str">
        <x:v>第十届参赛作品说明材料</x:v>
      </x:c>
      <x:c r="I133" s="3" t="str">
        <x:v>帮助确认作品说明材料的官方模板入口。</x:v>
      </x:c>
      <x:c r="J133" s="3" t="str">
        <x:v>待确认</x:v>
      </x:c>
      <x:c r="K133" s="3" t="str">
        <x:v>official_index</x:v>
      </x:c>
      <x:c r="L133" s="3" t="str">
        <x:v>已确认索引或入口</x:v>
      </x:c>
      <x:c r="M133" s="8" t="e">
        <x:f>HYPERLINK(N133,"打开来源")</x:f>
        <x:v>HYPERLINK is not implemented. linkLocation=https://www.itsnet.cn/wenjianxiazai/181.html, friendlyName=打开来源</x:v>
      </x:c>
      <x:c r="N133" s="3" t="str">
        <x:v>https://www.itsnet.cn/wenjianxiazai/181.html</x:v>
      </x:c>
      <x:c r="O133" s="3" t="str">
        <x:v>官方页面日期为2026-03-19；附件下载本轮返回错误页，未核实模板内部栏目。</x:v>
      </x:c>
      <x:c r="P133" s="9" t="n">
        <x:v>46298</x:v>
      </x:c>
    </x:row>
    <x:row r="134" ht="44" customHeight="1">
      <x:c r="A134" s="3" t="n">
        <x:v>133</x:v>
      </x:c>
      <x:c r="B134" s="3" t="str">
        <x:v>2026058</x:v>
      </x:c>
      <x:c r="C134" s="3" t="str">
        <x:v>第十届全国高校智能交通创新与创业大赛</x:v>
      </x:c>
      <x:c r="D134" s="3" t="str">
        <x:v>SUMO：Hello World交通仿真入门</x:v>
      </x:c>
      <x:c r="E134" s="3" t="str">
        <x:v>课程与指南</x:v>
      </x:c>
      <x:c r="F134" s="3" t="str">
        <x:v>Eclipse SUMO／德国航空航天中心</x:v>
      </x:c>
      <x:c r="G134" s="3" t="str">
        <x:v>入门</x:v>
      </x:c>
      <x:c r="H134" s="3" t="str">
        <x:v>交通仿真、路口控制等方向；非赛事指定软件</x:v>
      </x:c>
      <x:c r="I134" s="3" t="str">
        <x:v>用最小路网理解车辆、路线和仿真配置如何配合。</x:v>
      </x:c>
      <x:c r="J134" s="3" t="str">
        <x:v>免费公开</x:v>
      </x:c>
      <x:c r="K134" s="3" t="str">
        <x:v>page_read</x:v>
      </x:c>
      <x:c r="L134" s="3" t="str">
        <x:v>已读来源页面</x:v>
      </x:c>
      <x:c r="M134" s="8" t="e">
        <x:f>HYPERLINK(N134,"打开来源")</x:f>
        <x:v>HYPERLINK is not implemented. linkLocation=https://sumo.dlr.de/docs/Tutorials/Hello_World.html, friendlyName=打开来源</x:v>
      </x:c>
      <x:c r="N134" s="3" t="str">
        <x:v>https://sumo.dlr.de/docs/Tutorials/Hello_World.html</x:v>
      </x:c>
      <x:c r="O134" s="3" t="str">
        <x:v>官方逐步教程介绍构建简单道路网络、定义车辆路线、配置并运行交通仿真。</x:v>
      </x:c>
      <x:c r="P134" s="9" t="n">
        <x:v>46298</x:v>
      </x:c>
    </x:row>
    <x:row r="135" ht="50" customHeight="1">
      <x:c r="A135" s="3" t="n">
        <x:v>134</x:v>
      </x:c>
      <x:c r="B135" s="3" t="str">
        <x:v>2026059</x:v>
      </x:c>
      <x:c r="C135" s="3" t="str">
        <x:v>全国大学生电子商务“创新、创意及创业”挑战赛</x:v>
      </x:c>
      <x:c r="D135" s="3" t="str">
        <x:v>第十六届三创赛竞赛规则（2025年10月修订）</x:v>
      </x:c>
      <x:c r="E135" s="3" t="str">
        <x:v>规则与模板</x:v>
      </x:c>
      <x:c r="F135" s="3" t="str">
        <x:v>三创赛组委会／高校官网公开附件</x:v>
      </x:c>
      <x:c r="G135" s="3" t="str">
        <x:v>入门</x:v>
      </x:c>
      <x:c r="H135" s="3" t="str">
        <x:v>第十六届常规与实战赛事规则学习</x:v>
      </x:c>
      <x:c r="I135" s="3" t="str">
        <x:v>先识别参赛资格、作品组织方式和比赛流程。</x:v>
      </x:c>
      <x:c r="J135" s="3" t="str">
        <x:v>免费公开</x:v>
      </x:c>
      <x:c r="K135" s="3" t="str">
        <x:v>page_read</x:v>
      </x:c>
      <x:c r="L135" s="3" t="str">
        <x:v>已读来源页面</x:v>
      </x:c>
      <x:c r="M135" s="8" t="e">
        <x:f>HYPERLINK(N135,"打开来源")</x:f>
        <x:v>HYPERLINK is not implemented. linkLocation=https://www.hbfs.edu.cn/_upload/article/files/61/2e/a5dd8f624527ad1cc8c73a4f4966/fe714c32-1d7c-4c5c-a152-f572e975d36a.pdf, friendlyName=打开来源</x:v>
      </x:c>
      <x:c r="N135" s="3" t="str">
        <x:v>https://www.hbfs.edu.cn/_upload/article/files/61/2e/a5dd8f624527ad1cc8c73a4f4966/fe714c32-1d7c-4c5c-a152-f572e975d36a.pdf</x:v>
      </x:c>
      <x:c r="O135" s="3" t="str">
        <x:v>已读取28页正式规则PDF，文件文号为三创赛竞组委文〔2025〕33号；新届次应重新比对规则。</x:v>
      </x:c>
      <x:c r="P135" s="9" t="n">
        <x:v>46298</x:v>
      </x:c>
    </x:row>
    <x:row r="136" ht="44" customHeight="1">
      <x:c r="A136" s="3" t="n">
        <x:v>135</x:v>
      </x:c>
      <x:c r="B136" s="3" t="str">
        <x:v>2026059</x:v>
      </x:c>
      <x:c r="C136" s="3" t="str">
        <x:v>全国大学生电子商务“创新、创意及创业”挑战赛</x:v>
      </x:c>
      <x:c r="D136" s="3" t="str">
        <x:v>pandas：筛选表格数据教程</x:v>
      </x:c>
      <x:c r="E136" s="3" t="str">
        <x:v>课程与指南</x:v>
      </x:c>
      <x:c r="F136" s="3" t="str">
        <x:v>pandas官方文档</x:v>
      </x:c>
      <x:c r="G136" s="3" t="str">
        <x:v>入门</x:v>
      </x:c>
      <x:c r="H136" s="3" t="str">
        <x:v>商务数据分析方向；非赛事指定教程</x:v>
      </x:c>
      <x:c r="I136" s="3" t="str">
        <x:v>学习筛选用户、订单或调查记录，为项目分析准备数据。</x:v>
      </x:c>
      <x:c r="J136" s="3" t="str">
        <x:v>免费公开</x:v>
      </x:c>
      <x:c r="K136" s="3" t="str">
        <x:v>page_read</x:v>
      </x:c>
      <x:c r="L136" s="3" t="str">
        <x:v>已读来源页面</x:v>
      </x:c>
      <x:c r="M136" s="8" t="e">
        <x:f>HYPERLINK(N136,"打开来源")</x:f>
        <x:v>HYPERLINK is not implemented. linkLocation=https://pandas.pydata.org/docs/getting_started/intro_tutorials/03_subset_data.html, friendlyName=打开来源</x:v>
      </x:c>
      <x:c r="N136" s="3" t="str">
        <x:v>https://pandas.pydata.org/docs/getting_started/intro_tutorials/03_subset_data.html</x:v>
      </x:c>
      <x:c r="O136" s="3" t="str">
        <x:v>教程演示按列、条件及位置选取数据，涉及缺失值筛选；是通用数据处理基础。</x:v>
      </x:c>
      <x:c r="P136" s="9" t="n">
        <x:v>46298</x:v>
      </x:c>
    </x:row>
    <x:row r="137" ht="44" customHeight="1">
      <x:c r="A137" s="3" t="n">
        <x:v>136</x:v>
      </x:c>
      <x:c r="B137" s="3" t="str">
        <x:v>2026060</x:v>
      </x:c>
      <x:c r="C137" s="3" t="str">
        <x:v>全国大学生市场调查与分析大赛</x:v>
      </x:c>
      <x:c r="D137" s="3" t="str">
        <x:v>第十七届竞赛环节与备赛说明（高校通知）</x:v>
      </x:c>
      <x:c r="E137" s="3" t="str">
        <x:v>规则与模板</x:v>
      </x:c>
      <x:c r="F137" s="3" t="str">
        <x:v>宁波大学教务处</x:v>
      </x:c>
      <x:c r="G137" s="3" t="str">
        <x:v>入门</x:v>
      </x:c>
      <x:c r="H137" s="3" t="str">
        <x:v>第十七届规则初步学习</x:v>
      </x:c>
      <x:c r="I137" s="3" t="str">
        <x:v>了解知识准备、组队调研和报告环节之间的关系。</x:v>
      </x:c>
      <x:c r="J137" s="3" t="str">
        <x:v>免费公开</x:v>
      </x:c>
      <x:c r="K137" s="3" t="str">
        <x:v>page_read</x:v>
      </x:c>
      <x:c r="L137" s="3" t="str">
        <x:v>已读来源页面</x:v>
      </x:c>
      <x:c r="M137" s="8" t="e">
        <x:f>HYPERLINK(N137,"打开来源")</x:f>
        <x:v>HYPERLINK is not implemented. linkLocation=https://jwc.nbu.edu.cn/info/1126/18026.htm, friendlyName=打开来源</x:v>
      </x:c>
      <x:c r="N137" s="3" t="str">
        <x:v>https://jwc.nbu.edu.cn/info/1126/18026.htm</x:v>
      </x:c>
      <x:c r="O137" s="3" t="str">
        <x:v>页面说明个人知识赛与团队实践赛，并预告2026年11月至2027年2月专家授课；预告不等于课程已开放。</x:v>
      </x:c>
      <x:c r="P137" s="9" t="n">
        <x:v>46298</x:v>
      </x:c>
    </x:row>
    <x:row r="138" ht="44" customHeight="1">
      <x:c r="A138" s="3" t="n">
        <x:v>137</x:v>
      </x:c>
      <x:c r="B138" s="3" t="str">
        <x:v>2026060</x:v>
      </x:c>
      <x:c r="C138" s="3" t="str">
        <x:v>全国大学生市场调查与分析大赛</x:v>
      </x:c>
      <x:c r="D138" s="3" t="str">
        <x:v>pandas：筛选表格数据教程</x:v>
      </x:c>
      <x:c r="E138" s="3" t="str">
        <x:v>课程与指南</x:v>
      </x:c>
      <x:c r="F138" s="3" t="str">
        <x:v>pandas官方文档</x:v>
      </x:c>
      <x:c r="G138" s="3" t="str">
        <x:v>入门</x:v>
      </x:c>
      <x:c r="H138" s="3" t="str">
        <x:v>问卷数据清洗和样本筛选；非赛事指定教程</x:v>
      </x:c>
      <x:c r="I138" s="3" t="str">
        <x:v>帮助处理回收问卷、筛选有效记录并准备分析数据。</x:v>
      </x:c>
      <x:c r="J138" s="3" t="str">
        <x:v>免费公开</x:v>
      </x:c>
      <x:c r="K138" s="3" t="str">
        <x:v>page_read</x:v>
      </x:c>
      <x:c r="L138" s="3" t="str">
        <x:v>已读来源页面</x:v>
      </x:c>
      <x:c r="M138" s="8" t="e">
        <x:f>HYPERLINK(N138,"打开来源")</x:f>
        <x:v>HYPERLINK is not implemented. linkLocation=https://pandas.pydata.org/docs/getting_started/intro_tutorials/03_subset_data.html, friendlyName=打开来源</x:v>
      </x:c>
      <x:c r="N138" s="3" t="str">
        <x:v>https://pandas.pydata.org/docs/getting_started/intro_tutorials/03_subset_data.html</x:v>
      </x:c>
      <x:c r="O138" s="3" t="str">
        <x:v>官方入门教程介绍按条件与列筛选DataFrame，可应用于市场调查数据整理。</x:v>
      </x:c>
      <x:c r="P138" s="9" t="n">
        <x:v>46298</x:v>
      </x:c>
    </x:row>
    <x:row r="139" ht="44" customHeight="1">
      <x:c r="A139" s="3" t="n">
        <x:v>138</x:v>
      </x:c>
      <x:c r="B139" s="3" t="str">
        <x:v>2026060</x:v>
      </x:c>
      <x:c r="C139" s="3" t="str">
        <x:v>全国大学生市场调查与分析大赛</x:v>
      </x:c>
      <x:c r="D139" s="3" t="str">
        <x:v>statsmodels：回归诊断示例</x:v>
      </x:c>
      <x:c r="E139" s="3" t="str">
        <x:v>课程与指南</x:v>
      </x:c>
      <x:c r="F139" s="3" t="str">
        <x:v>statsmodels官方文档</x:v>
      </x:c>
      <x:c r="G139" s="3" t="str">
        <x:v>进阶</x:v>
      </x:c>
      <x:c r="H139" s="3" t="str">
        <x:v>需要回归分析的调研报告；不适用于所有研究问题</x:v>
      </x:c>
      <x:c r="I139" s="3" t="str">
        <x:v>理解模型诊断而非只输出回归系数。</x:v>
      </x:c>
      <x:c r="J139" s="3" t="str">
        <x:v>免费公开</x:v>
      </x:c>
      <x:c r="K139" s="3" t="str">
        <x:v>page_read</x:v>
      </x:c>
      <x:c r="L139" s="3" t="str">
        <x:v>已读来源页面</x:v>
      </x:c>
      <x:c r="M139" s="8" t="e">
        <x:f>HYPERLINK(N139,"打开来源")</x:f>
        <x:v>HYPERLINK is not implemented. linkLocation=https://www.statsmodels.org/stable/examples/notebooks/generated/regression_diagnostics.html, friendlyName=打开来源</x:v>
      </x:c>
      <x:c r="N139" s="3" t="str">
        <x:v>https://www.statsmodels.org/stable/examples/notebooks/generated/regression_diagnostics.html</x:v>
      </x:c>
      <x:c r="O139" s="3" t="str">
        <x:v>官方notebook提供残差、异方差等诊断方法及代码示例，可支持统计分析结果的解释。</x:v>
      </x:c>
      <x:c r="P139" s="9" t="n">
        <x:v>46298</x:v>
      </x:c>
    </x:row>
    <x:row r="140" ht="44" customHeight="1">
      <x:c r="A140" s="3" t="n">
        <x:v>139</x:v>
      </x:c>
      <x:c r="B140" s="3" t="str">
        <x:v>2026061</x:v>
      </x:c>
      <x:c r="C140" s="3" t="str">
        <x:v>全国大学生机器人大赛-Robocon</x:v>
      </x:c>
      <x:c r="D140" s="3" t="str">
        <x:v>2027年第26届“女娲补天”竞技赛规则V1</x:v>
      </x:c>
      <x:c r="E140" s="3" t="str">
        <x:v>规则与模板</x:v>
      </x:c>
      <x:c r="F140" s="3" t="str">
        <x:v>ROBOCON组委会</x:v>
      </x:c>
      <x:c r="G140" s="3" t="str">
        <x:v>入门</x:v>
      </x:c>
      <x:c r="H140" s="3" t="str">
        <x:v>2027年第26届；不可替代2026规则</x:v>
      </x:c>
      <x:c r="I140" s="3" t="str">
        <x:v>用官方新赛季规则确定机器人任务、设计限制和得分逻辑。</x:v>
      </x:c>
      <x:c r="J140" s="3" t="str">
        <x:v>待确认</x:v>
      </x:c>
      <x:c r="K140" s="3" t="str">
        <x:v>official_index</x:v>
      </x:c>
      <x:c r="L140" s="3" t="str">
        <x:v>已确认索引或入口</x:v>
      </x:c>
      <x:c r="M140" s="8" t="e">
        <x:f>HYPERLINK(N140,"打开来源")</x:f>
        <x:v>HYPERLINK is not implemented. linkLocation=https://robocon.org.cn/sys-nd/131.html, friendlyName=打开来源</x:v>
      </x:c>
      <x:c r="N140" s="3" t="str">
        <x:v>https://robocon.org.cn/sys-nd/131.html</x:v>
      </x:c>
      <x:c r="O140" s="3" t="str">
        <x:v>官方目录明确列出该文件及2026-09-22日期；详情页本轮停留在查询中，尚未读到规则正文。</x:v>
      </x:c>
      <x:c r="P140" s="9" t="n">
        <x:v>46298</x:v>
      </x:c>
    </x:row>
    <x:row r="141" ht="44" customHeight="1">
      <x:c r="A141" s="3" t="n">
        <x:v>140</x:v>
      </x:c>
      <x:c r="B141" s="3" t="str">
        <x:v>2026061</x:v>
      </x:c>
      <x:c r="C141" s="3" t="str">
        <x:v>全国大学生机器人大赛-Robocon</x:v>
      </x:c>
      <x:c r="D141" s="3" t="str">
        <x:v>2026年第25届ROBOCON暨ABU国内选拔赛参赛手册</x:v>
      </x:c>
      <x:c r="E141" s="3" t="str">
        <x:v>规则与模板</x:v>
      </x:c>
      <x:c r="F141" s="3" t="str">
        <x:v>ROBOCON组委会</x:v>
      </x:c>
      <x:c r="G141" s="3" t="str">
        <x:v>通用</x:v>
      </x:c>
      <x:c r="H141" s="3" t="str">
        <x:v>2026往届赛事流程参考</x:v>
      </x:c>
      <x:c r="I141" s="3" t="str">
        <x:v>用于认识现场参赛与组织要求，备新赛季时需重新核对。</x:v>
      </x:c>
      <x:c r="J141" s="3" t="str">
        <x:v>待确认</x:v>
      </x:c>
      <x:c r="K141" s="3" t="str">
        <x:v>official_index</x:v>
      </x:c>
      <x:c r="L141" s="3" t="str">
        <x:v>已确认索引或入口</x:v>
      </x:c>
      <x:c r="M141" s="8" t="e">
        <x:f>HYPERLINK(N141,"打开来源")</x:f>
        <x:v>HYPERLINK is not implemented. linkLocation=https://www.robocon.org.cn/sys-nd/97.html, friendlyName=打开来源</x:v>
      </x:c>
      <x:c r="N141" s="3" t="str">
        <x:v>https://www.robocon.org.cn/sys-nd/97.html</x:v>
      </x:c>
      <x:c r="O141" s="3" t="str">
        <x:v>官方目录在2026-07-06列出该手册；本轮详情读取失败，仅核验官方索引，未获取完整手册。</x:v>
      </x:c>
      <x:c r="P141" s="9" t="n">
        <x:v>46298</x:v>
      </x:c>
    </x:row>
    <x:row r="142" ht="44" customHeight="1">
      <x:c r="A142" s="3" t="n">
        <x:v>141</x:v>
      </x:c>
      <x:c r="B142" s="3" t="str">
        <x:v>2026062</x:v>
      </x:c>
      <x:c r="C142" s="3" t="str">
        <x:v>日本大学生电动方程式汽车大赛（2026）</x:v>
      </x:c>
      <x:c r="D142" s="3" t="str">
        <x:v>2026 FSAEJ本地规则（第4版）</x:v>
      </x:c>
      <x:c r="E142" s="3" t="str">
        <x:v>规则与模板</x:v>
      </x:c>
      <x:c r="F142" s="3" t="str">
        <x:v>日本汽车技术会（JSAE）</x:v>
      </x:c>
      <x:c r="G142" s="3" t="str">
        <x:v>进阶</x:v>
      </x:c>
      <x:c r="H142" s="3" t="str">
        <x:v>2026 EV组及日本站补充要求</x:v>
      </x:c>
      <x:c r="I142" s="3" t="str">
        <x:v>把日本站要求与基础Formula SAE规则对照，形成设计检查清单。</x:v>
      </x:c>
      <x:c r="J142" s="3" t="str">
        <x:v>免费公开</x:v>
      </x:c>
      <x:c r="K142" s="3" t="str">
        <x:v>page_read</x:v>
      </x:c>
      <x:c r="L142" s="3" t="str">
        <x:v>已读来源页面</x:v>
      </x:c>
      <x:c r="M142" s="8" t="e">
        <x:f>HYPERLINK(N142,"打开来源")</x:f>
        <x:v>HYPERLINK is not implemented. linkLocation=https://en.jsae.or.jp/files_publish/page/519/2026_FSAEJ_LocalRule_4th_20260616.pdf, friendlyName=打开来源</x:v>
      </x:c>
      <x:c r="N142" s="3" t="str">
        <x:v>https://en.jsae.or.jp/files_publish/page/519/2026_FSAEJ_LocalRule_4th_20260616.pdf</x:v>
      </x:c>
      <x:c r="O142" s="3" t="str">
        <x:v>已读取36页英文PDF，属于日本站本地补充规则，不是整个EV设计课程。</x:v>
      </x:c>
      <x:c r="P142" s="9" t="n">
        <x:v>46298</x:v>
      </x:c>
    </x:row>
    <x:row r="143" ht="44" customHeight="1">
      <x:c r="A143" s="3" t="n">
        <x:v>142</x:v>
      </x:c>
      <x:c r="B143" s="3" t="str">
        <x:v>2026062</x:v>
      </x:c>
      <x:c r="C143" s="3" t="str">
        <x:v>日本大学生电动方程式汽车大赛（2026）</x:v>
      </x:c>
      <x:c r="D143" s="3" t="str">
        <x:v>2026 FSAEJ参赛规则（第3版英文）</x:v>
      </x:c>
      <x:c r="E143" s="3" t="str">
        <x:v>规则与模板</x:v>
      </x:c>
      <x:c r="F143" s="3" t="str">
        <x:v>日本汽车技术会（JSAE）</x:v>
      </x:c>
      <x:c r="G143" s="3" t="str">
        <x:v>入门</x:v>
      </x:c>
      <x:c r="H143" s="3" t="str">
        <x:v>2026电动车队组织与参赛流程</x:v>
      </x:c>
      <x:c r="I143" s="3" t="str">
        <x:v>了解车队资格、报名及提交材料等组织要求。</x:v>
      </x:c>
      <x:c r="J143" s="3" t="str">
        <x:v>免费公开</x:v>
      </x:c>
      <x:c r="K143" s="3" t="str">
        <x:v>page_read</x:v>
      </x:c>
      <x:c r="L143" s="3" t="str">
        <x:v>已读来源页面</x:v>
      </x:c>
      <x:c r="M143" s="8" t="e">
        <x:f>HYPERLINK(N143,"打开来源")</x:f>
        <x:v>HYPERLINK is not implemented. linkLocation=https://en.jsae.or.jp/files_publish/page/519/2026_FSAEJ_ParticpationRules_3rd_EN_20260616.pdf, friendlyName=打开来源</x:v>
      </x:c>
      <x:c r="N143" s="3" t="str">
        <x:v>https://en.jsae.or.jp/files_publish/page/519/2026_FSAEJ_ParticpationRules_3rd_EN_20260616.pdf</x:v>
      </x:c>
      <x:c r="O143" s="3" t="str">
        <x:v>已读取14页参赛规则，须与技术规则配合使用。</x:v>
      </x:c>
      <x:c r="P143" s="9" t="n">
        <x:v>46298</x:v>
      </x:c>
    </x:row>
    <x:row r="144" ht="44" customHeight="1">
      <x:c r="A144" s="3" t="n">
        <x:v>143</x:v>
      </x:c>
      <x:c r="B144" s="3" t="str">
        <x:v>2026062</x:v>
      </x:c>
      <x:c r="C144" s="3" t="str">
        <x:v>日本大学生电动方程式汽车大赛（2026）</x:v>
      </x:c>
      <x:c r="D144" s="3" t="str">
        <x:v>Student Formula赛事与考核项目说明</x:v>
      </x:c>
      <x:c r="E144" s="3" t="str">
        <x:v>课程与指南</x:v>
      </x:c>
      <x:c r="F144" s="3" t="str">
        <x:v>日本汽车技术会（JSAE）</x:v>
      </x:c>
      <x:c r="G144" s="3" t="str">
        <x:v>入门</x:v>
      </x:c>
      <x:c r="H144" s="3" t="str">
        <x:v>方程式赛车队新人；涵盖EV与ICV通用部分</x:v>
      </x:c>
      <x:c r="I144" s="3" t="str">
        <x:v>先理解设计、成本与动态项目等考核目标，再安排车队学习。</x:v>
      </x:c>
      <x:c r="J144" s="3" t="str">
        <x:v>免费公开</x:v>
      </x:c>
      <x:c r="K144" s="3" t="str">
        <x:v>page_read</x:v>
      </x:c>
      <x:c r="L144" s="3" t="str">
        <x:v>已读来源页面</x:v>
      </x:c>
      <x:c r="M144" s="8" t="e">
        <x:f>HYPERLINK(N144,"打开来源")</x:f>
        <x:v>HYPERLINK is not implemented. linkLocation=https://en.jsae.or.jp/formula/student-formula/outline/, friendlyName=打开来源</x:v>
      </x:c>
      <x:c r="N144" s="3" t="str">
        <x:v>https://en.jsae.or.jp/formula/student-formula/outline/</x:v>
      </x:c>
      <x:c r="O144" s="3" t="str">
        <x:v>官网介绍学生自主设计制造车辆及静态、动态考核构成；不是2026完整评分细则。</x:v>
      </x:c>
      <x:c r="P144" s="9" t="n">
        <x:v>46298</x:v>
      </x:c>
    </x:row>
    <x:row r="145" ht="44" customHeight="1">
      <x:c r="A145" s="3" t="n">
        <x:v>144</x:v>
      </x:c>
      <x:c r="B145" s="3" t="str">
        <x:v>2026063</x:v>
      </x:c>
      <x:c r="C145" s="3" t="str">
        <x:v>日本大学生方程式汽车大赛（2026）</x:v>
      </x:c>
      <x:c r="D145" s="3" t="str">
        <x:v>2026 FSAEJ本地规则（第4版）</x:v>
      </x:c>
      <x:c r="E145" s="3" t="str">
        <x:v>规则与模板</x:v>
      </x:c>
      <x:c r="F145" s="3" t="str">
        <x:v>日本汽车技术会（JSAE）</x:v>
      </x:c>
      <x:c r="G145" s="3" t="str">
        <x:v>进阶</x:v>
      </x:c>
      <x:c r="H145" s="3" t="str">
        <x:v>2026日本站通用与相应组别技术要求</x:v>
      </x:c>
      <x:c r="I145" s="3" t="str">
        <x:v>识别日本站补充规则，再按实际EV或ICV组别比对。</x:v>
      </x:c>
      <x:c r="J145" s="3" t="str">
        <x:v>免费公开</x:v>
      </x:c>
      <x:c r="K145" s="3" t="str">
        <x:v>page_read</x:v>
      </x:c>
      <x:c r="L145" s="3" t="str">
        <x:v>已读来源页面</x:v>
      </x:c>
      <x:c r="M145" s="8" t="e">
        <x:f>HYPERLINK(N145,"打开来源")</x:f>
        <x:v>HYPERLINK is not implemented. linkLocation=https://en.jsae.or.jp/files_publish/page/519/2026_FSAEJ_LocalRule_4th_20260616.pdf, friendlyName=打开来源</x:v>
      </x:c>
      <x:c r="N145" s="3" t="str">
        <x:v>https://en.jsae.or.jp/files_publish/page/519/2026_FSAEJ_LocalRule_4th_20260616.pdf</x:v>
      </x:c>
      <x:c r="O145" s="3" t="str">
        <x:v>已读取36页英文PDF，属于日本站本地补充规则，不是整个EV设计课程。</x:v>
      </x:c>
      <x:c r="P145" s="9" t="n">
        <x:v>46298</x:v>
      </x:c>
    </x:row>
    <x:row r="146" ht="44" customHeight="1">
      <x:c r="A146" s="3" t="n">
        <x:v>145</x:v>
      </x:c>
      <x:c r="B146" s="3" t="str">
        <x:v>2026063</x:v>
      </x:c>
      <x:c r="C146" s="3" t="str">
        <x:v>日本大学生方程式汽车大赛（2026）</x:v>
      </x:c>
      <x:c r="D146" s="3" t="str">
        <x:v>2026 FSAEJ参赛规则（第3版英文）</x:v>
      </x:c>
      <x:c r="E146" s="3" t="str">
        <x:v>规则与模板</x:v>
      </x:c>
      <x:c r="F146" s="3" t="str">
        <x:v>日本汽车技术会（JSAE）</x:v>
      </x:c>
      <x:c r="G146" s="3" t="str">
        <x:v>入门</x:v>
      </x:c>
      <x:c r="H146" s="3" t="str">
        <x:v>2026日本方程式车队组织与参赛流程</x:v>
      </x:c>
      <x:c r="I146" s="3" t="str">
        <x:v>了解车队资格、报名及提交材料等组织要求。</x:v>
      </x:c>
      <x:c r="J146" s="3" t="str">
        <x:v>免费公开</x:v>
      </x:c>
      <x:c r="K146" s="3" t="str">
        <x:v>page_read</x:v>
      </x:c>
      <x:c r="L146" s="3" t="str">
        <x:v>已读来源页面</x:v>
      </x:c>
      <x:c r="M146" s="8" t="e">
        <x:f>HYPERLINK(N146,"打开来源")</x:f>
        <x:v>HYPERLINK is not implemented. linkLocation=https://en.jsae.or.jp/files_publish/page/519/2026_FSAEJ_ParticpationRules_3rd_EN_20260616.pdf, friendlyName=打开来源</x:v>
      </x:c>
      <x:c r="N146" s="3" t="str">
        <x:v>https://en.jsae.or.jp/files_publish/page/519/2026_FSAEJ_ParticpationRules_3rd_EN_20260616.pdf</x:v>
      </x:c>
      <x:c r="O146" s="3" t="str">
        <x:v>已读取14页参赛规则，须与技术规则配合使用。</x:v>
      </x:c>
      <x:c r="P146" s="9" t="n">
        <x:v>46298</x:v>
      </x:c>
    </x:row>
    <x:row r="147" ht="44" customHeight="1">
      <x:c r="A147" s="3" t="n">
        <x:v>146</x:v>
      </x:c>
      <x:c r="B147" s="3" t="str">
        <x:v>2026063</x:v>
      </x:c>
      <x:c r="C147" s="3" t="str">
        <x:v>日本大学生方程式汽车大赛（2026）</x:v>
      </x:c>
      <x:c r="D147" s="3" t="str">
        <x:v>Student Formula赛事与考核项目说明</x:v>
      </x:c>
      <x:c r="E147" s="3" t="str">
        <x:v>课程与指南</x:v>
      </x:c>
      <x:c r="F147" s="3" t="str">
        <x:v>日本汽车技术会（JSAE）</x:v>
      </x:c>
      <x:c r="G147" s="3" t="str">
        <x:v>入门</x:v>
      </x:c>
      <x:c r="H147" s="3" t="str">
        <x:v>方程式赛车队新人；EV与ICV通用概览</x:v>
      </x:c>
      <x:c r="I147" s="3" t="str">
        <x:v>先理解设计、成本与动态项目等考核目标，再安排车队学习。</x:v>
      </x:c>
      <x:c r="J147" s="3" t="str">
        <x:v>免费公开</x:v>
      </x:c>
      <x:c r="K147" s="3" t="str">
        <x:v>page_read</x:v>
      </x:c>
      <x:c r="L147" s="3" t="str">
        <x:v>已读来源页面</x:v>
      </x:c>
      <x:c r="M147" s="8" t="e">
        <x:f>HYPERLINK(N147,"打开来源")</x:f>
        <x:v>HYPERLINK is not implemented. linkLocation=https://en.jsae.or.jp/formula/student-formula/outline/, friendlyName=打开来源</x:v>
      </x:c>
      <x:c r="N147" s="3" t="str">
        <x:v>https://en.jsae.or.jp/formula/student-formula/outline/</x:v>
      </x:c>
      <x:c r="O147" s="3" t="str">
        <x:v>官网介绍学生自主设计制造车辆及静态、动态考核构成；不是2026完整评分细则。</x:v>
      </x:c>
      <x:c r="P147" s="9" t="n">
        <x:v>46298</x:v>
      </x:c>
    </x:row>
    <x:row r="148" ht="64" customHeight="1">
      <x:c r="A148" s="3" t="n">
        <x:v>147</x:v>
      </x:c>
      <x:c r="B148" s="3" t="str">
        <x:v>2026064</x:v>
      </x:c>
      <x:c r="C148" s="3" t="str">
        <x:v>IF设计奖（IF Design Award）</x:v>
      </x:c>
      <x:c r="D148" s="3" t="str">
        <x:v>2027专业奖报名指南：区分奖项与材料要求</x:v>
      </x:c>
      <x:c r="E148" s="3" t="str">
        <x:v>规则与模板</x:v>
      </x:c>
      <x:c r="F148" s="3" t="str">
        <x:v>iF Design</x:v>
      </x:c>
      <x:c r="G148" s="3" t="str">
        <x:v>入门</x:v>
      </x:c>
      <x:c r="H148" s="3" t="str">
        <x:v>目录所称iF专业奖；学生需先核对是否应参加学生奖</x:v>
      </x:c>
      <x:c r="I148" s="3" t="str">
        <x:v>先弄清作品类型、资格和提交材料，避免使用错误奖项规则。</x:v>
      </x:c>
      <x:c r="J148" s="3" t="str">
        <x:v>免费公开</x:v>
      </x:c>
      <x:c r="K148" s="3" t="str">
        <x:v>page_read</x:v>
      </x:c>
      <x:c r="L148" s="3" t="str">
        <x:v>已读来源页面</x:v>
      </x:c>
      <x:c r="M148" s="8" t="e">
        <x:f>HYPERLINK(N148,"打开来源")</x:f>
        <x:v>HYPERLINK is not implemented. linkLocation=https://assets.ctfassets.net/9el74s703hin/3LisaU32dIdDzCjhL4V8r2/9c007f552f1cbbfa1dc9ecaea88b84a5/iF_DESIGN_AWARD_2027_-_Registration_Guide_-_English.pdf, friendlyName=打开来源</x:v>
      </x:c>
      <x:c r="N148" s="3" t="str">
        <x:v>https://assets.ctfassets.net/9el74s703hin/3LisaU32dIdDzCjhL4V8r2/9c007f552f1cbbfa1dc9ecaea88b84a5/iF_DESIGN_AWARD_2027_-_Registration_Guide_-_English.pdf</x:v>
      </x:c>
      <x:c r="O148" s="3" t="str">
        <x:v>已读取指南全文。学习资料本身免费；专业奖参赛另有报名、评审及获奖费用，不能由资源的免费访问状态推断参赛免费。</x:v>
      </x:c>
      <x:c r="P148" s="9" t="n">
        <x:v>46298</x:v>
      </x:c>
    </x:row>
    <x:row r="149" ht="44" customHeight="1">
      <x:c r="A149" s="3" t="n">
        <x:v>148</x:v>
      </x:c>
      <x:c r="B149" s="3" t="str">
        <x:v>2026064</x:v>
      </x:c>
      <x:c r="C149" s="3" t="str">
        <x:v>IF设计奖（IF Design Award）</x:v>
      </x:c>
      <x:c r="D149" s="3" t="str">
        <x:v>2027学生奖评审标准与申报说明</x:v>
      </x:c>
      <x:c r="E149" s="3" t="str">
        <x:v>规则与模板</x:v>
      </x:c>
      <x:c r="F149" s="3" t="str">
        <x:v>iF Design</x:v>
      </x:c>
      <x:c r="G149" s="3" t="str">
        <x:v>入门</x:v>
      </x:c>
      <x:c r="H149" s="3" t="str">
        <x:v>iF学生奖备赛；是否计入学校目录需另确认</x:v>
      </x:c>
      <x:c r="I149" s="3" t="str">
        <x:v>按解决问题、伦理与群体关系、设计质量及可实施性检查方案。</x:v>
      </x:c>
      <x:c r="J149" s="3" t="str">
        <x:v>待确认</x:v>
      </x:c>
      <x:c r="K149" s="3" t="str">
        <x:v>search_result</x:v>
      </x:c>
      <x:c r="L149" s="3" t="str">
        <x:v>仅搜索结果，待核对</x:v>
      </x:c>
      <x:c r="M149" s="8" t="e">
        <x:f>HYPERLINK(N149,"打开来源")</x:f>
        <x:v>HYPERLINK is not implemented. linkLocation=https://ifdesign.com/en/if-design-student-award, friendlyName=打开来源</x:v>
      </x:c>
      <x:c r="N149" s="3" t="str">
        <x:v>https://ifdesign.com/en/if-design-student-award</x:v>
      </x:c>
      <x:c r="O149" s="3" t="str">
        <x:v>官方索引提供学生奖评审标准、可持续发展目标分类和申报日期；本轮未直接读取网页正文。</x:v>
      </x:c>
      <x:c r="P149" s="9" t="n">
        <x:v>46298</x:v>
      </x:c>
    </x:row>
    <x:row r="150" ht="44" customHeight="1">
      <x:c r="A150" s="3" t="n">
        <x:v>149</x:v>
      </x:c>
      <x:c r="B150" s="3" t="str">
        <x:v>2026064</x:v>
      </x:c>
      <x:c r="C150" s="3" t="str">
        <x:v>IF设计奖（IF Design Award）</x:v>
      </x:c>
      <x:c r="D150" s="3" t="str">
        <x:v>2026学生奖获奖案例：Urban Orthesis</x:v>
      </x:c>
      <x:c r="E150" s="3" t="str">
        <x:v>作品案例</x:v>
      </x:c>
      <x:c r="F150" s="3" t="str">
        <x:v>iF Design；由IED官方获奖报道链接确认</x:v>
      </x:c>
      <x:c r="G150" s="3" t="str">
        <x:v>通用</x:v>
      </x:c>
      <x:c r="H150" s="3" t="str">
        <x:v>学生产品设计案例参考</x:v>
      </x:c>
      <x:c r="I150" s="3" t="str">
        <x:v>提供可追溯的具体获奖作品入口，供研究选题与设计表达。</x:v>
      </x:c>
      <x:c r="J150" s="3" t="str">
        <x:v>待确认</x:v>
      </x:c>
      <x:c r="K150" s="3" t="str">
        <x:v>official_index</x:v>
      </x:c>
      <x:c r="L150" s="3" t="str">
        <x:v>已确认索引或入口</x:v>
      </x:c>
      <x:c r="M150" s="8" t="e">
        <x:f>HYPERLINK(N150,"打开来源")</x:f>
        <x:v>HYPERLINK is not implemented. linkLocation=https://ifdesign.com/en/winner-ranking/project/ortesis-urbana-urban-orthosis/781949, friendlyName=打开来源</x:v>
      </x:c>
      <x:c r="N150" s="3" t="str">
        <x:v>https://ifdesign.com/en/winner-ranking/project/ortesis-urbana-urban-orthosis/781949</x:v>
      </x:c>
      <x:c r="O150" s="3" t="str">
        <x:v>IED官方报道确认其为2026学生奖作品并链接此页；iF作品页本轮403，尚未阅读完整设计介绍。</x:v>
      </x:c>
      <x:c r="P150" s="9" t="n">
        <x:v>46298</x:v>
      </x:c>
    </x:row>
    <x:row r="151" ht="44" customHeight="1">
      <x:c r="A151" s="3" t="n">
        <x:v>150</x:v>
      </x:c>
      <x:c r="B151" s="3" t="str">
        <x:v>2026065</x:v>
      </x:c>
      <x:c r="C151" s="3" t="str">
        <x:v>红点设计大奖（Red Dot Design Award）</x:v>
      </x:c>
      <x:c r="D151" s="3" t="str">
        <x:v>Design Concept官方评审标准</x:v>
      </x:c>
      <x:c r="E151" s="3" t="str">
        <x:v>规则与模板</x:v>
      </x:c>
      <x:c r="F151" s="3" t="str">
        <x:v>Red Dot</x:v>
      </x:c>
      <x:c r="G151" s="3" t="str">
        <x:v>入门</x:v>
      </x:c>
      <x:c r="H151" s="3" t="str">
        <x:v>设计概念、原型及Ready For Market方向</x:v>
      </x:c>
      <x:c r="I151" s="3" t="str">
        <x:v>把创新、功能和可实施性转化为自查问题，避免仅做视觉包装。</x:v>
      </x:c>
      <x:c r="J151" s="3" t="str">
        <x:v>免费公开</x:v>
      </x:c>
      <x:c r="K151" s="3" t="str">
        <x:v>page_read</x:v>
      </x:c>
      <x:c r="L151" s="3" t="str">
        <x:v>已读来源页面</x:v>
      </x:c>
      <x:c r="M151" s="8" t="e">
        <x:f>HYPERLINK(N151,"打开来源")</x:f>
        <x:v>HYPERLINK is not implemented. linkLocation=https://www.red-dot.org/design-concept/jury/, friendlyName=打开来源</x:v>
      </x:c>
      <x:c r="N151" s="3" t="str">
        <x:v>https://www.red-dot.org/design-concept/jury/</x:v>
      </x:c>
      <x:c r="O151" s="3" t="str">
        <x:v>官方分别说明概念类和临近上市类评审依据，包括创新或差异、审美、实现可能性、功能等。</x:v>
      </x:c>
      <x:c r="P151" s="9" t="n">
        <x:v>46298</x:v>
      </x:c>
    </x:row>
    <x:row r="152" ht="44" customHeight="1">
      <x:c r="A152" s="3" t="n">
        <x:v>151</x:v>
      </x:c>
      <x:c r="B152" s="3" t="str">
        <x:v>2026065</x:v>
      </x:c>
      <x:c r="C152" s="3" t="str">
        <x:v>红点设计大奖（Red Dot Design Award）</x:v>
      </x:c>
      <x:c r="D152" s="3" t="str">
        <x:v>Product Design 2027提交与送审指南（FAQ）</x:v>
      </x:c>
      <x:c r="E152" s="3" t="str">
        <x:v>规则与模板</x:v>
      </x:c>
      <x:c r="F152" s="3" t="str">
        <x:v>Red Dot</x:v>
      </x:c>
      <x:c r="G152" s="3" t="str">
        <x:v>入门</x:v>
      </x:c>
      <x:c r="H152" s="3" t="str">
        <x:v>已满足产品设计奖资格的项目</x:v>
      </x:c>
      <x:c r="I152" s="3" t="str">
        <x:v>确认展示材料、实物与费用要求是否与团队条件匹配。</x:v>
      </x:c>
      <x:c r="J152" s="3" t="str">
        <x:v>免费公开</x:v>
      </x:c>
      <x:c r="K152" s="3" t="str">
        <x:v>page_read</x:v>
      </x:c>
      <x:c r="L152" s="3" t="str">
        <x:v>已读来源页面</x:v>
      </x:c>
      <x:c r="M152" s="8" t="e">
        <x:f>HYPERLINK(N152,"打开来源")</x:f>
        <x:v>HYPERLINK is not implemented. linkLocation=https://www.red-dot.org/pd/faq, friendlyName=打开来源</x:v>
      </x:c>
      <x:c r="N152" s="3" t="str">
        <x:v>https://www.red-dot.org/pd/faq</x:v>
      </x:c>
      <x:c r="O152" s="3" t="str">
        <x:v>详细FAQ涵盖产品资格、图像视频、送审与费用。页面可免费阅读，参赛与获奖套餐另计费用。</x:v>
      </x:c>
      <x:c r="P152" s="9" t="n">
        <x:v>46298</x:v>
      </x:c>
    </x:row>
    <x:row r="153" ht="44" customHeight="1">
      <x:c r="A153" s="3" t="n">
        <x:v>152</x:v>
      </x:c>
      <x:c r="B153" s="3" t="str">
        <x:v>2026065</x:v>
      </x:c>
      <x:c r="C153" s="3" t="str">
        <x:v>红点设计大奖（Red Dot Design Award）</x:v>
      </x:c>
      <x:c r="D153" s="3" t="str">
        <x:v>2026案例：Clair Bois无障碍餐桌</x:v>
      </x:c>
      <x:c r="E153" s="3" t="str">
        <x:v>作品案例</x:v>
      </x:c>
      <x:c r="F153" s="3" t="str">
        <x:v>日内瓦艺术设计学院HEAD</x:v>
      </x:c>
      <x:c r="G153" s="3" t="str">
        <x:v>通用</x:v>
      </x:c>
      <x:c r="H153" s="3" t="str">
        <x:v>包容性设计与产品设计方向</x:v>
      </x:c>
      <x:c r="I153" s="3" t="str">
        <x:v>学习如何从真实使用者需求连接结构、材料与审美决策。</x:v>
      </x:c>
      <x:c r="J153" s="3" t="str">
        <x:v>免费公开</x:v>
      </x:c>
      <x:c r="K153" s="3" t="str">
        <x:v>page_read</x:v>
      </x:c>
      <x:c r="L153" s="3" t="str">
        <x:v>已读来源页面</x:v>
      </x:c>
      <x:c r="M153" s="8" t="e">
        <x:f>HYPERLINK(N153,"打开来源")</x:f>
        <x:v>HYPERLINK is not implemented. linkLocation=https://head.hesge.ch/en/project/clair-bois-inclusive-table-winner-red-dot-award-2026, friendlyName=打开来源</x:v>
      </x:c>
      <x:c r="N153" s="3" t="str">
        <x:v>https://head.hesge.ch/en/project/clair-bois-inclusive-table-winner-red-dot-award-2026</x:v>
      </x:c>
      <x:c r="O153" s="3" t="str">
        <x:v>高校项目页介绍获奖餐桌的参与式设计、手摇升降和本地木材制作，说明无障碍目标如何落到方案中。</x:v>
      </x:c>
      <x:c r="P153" s="9" t="n">
        <x:v>46298</x:v>
      </x:c>
    </x:row>
    <x:row r="154" ht="44" customHeight="1">
      <x:c r="A154" s="3" t="n">
        <x:v>153</x:v>
      </x:c>
      <x:c r="B154" s="3" t="str">
        <x:v>2026066</x:v>
      </x:c>
      <x:c r="C154" s="3" t="str">
        <x:v>两岸新锐设计竞赛华灿奖</x:v>
      </x:c>
      <x:c r="D154" s="3" t="str">
        <x:v>2026赛道、作品组织与路演要求</x:v>
      </x:c>
      <x:c r="E154" s="3" t="str">
        <x:v>规则与模板</x:v>
      </x:c>
      <x:c r="F154" s="3" t="str">
        <x:v>成都大学转发赛事说明</x:v>
      </x:c>
      <x:c r="G154" s="3" t="str">
        <x:v>入门</x:v>
      </x:c>
      <x:c r="H154" s="3" t="str">
        <x:v>2026创意赛道与定向主题赛道</x:v>
      </x:c>
      <x:c r="I154" s="3" t="str">
        <x:v>先选择赛道，再规划作品材料与团队分工。</x:v>
      </x:c>
      <x:c r="J154" s="3" t="str">
        <x:v>免费公开</x:v>
      </x:c>
      <x:c r="K154" s="3" t="str">
        <x:v>page_read</x:v>
      </x:c>
      <x:c r="L154" s="3" t="str">
        <x:v>已读来源页面</x:v>
      </x:c>
      <x:c r="M154" s="8" t="e">
        <x:f>HYPERLINK(N154,"打开来源")</x:f>
        <x:v>HYPERLINK is not implemented. linkLocation=https://cxcyxy.cdu.edu.cn/info/1019/4390.htm, friendlyName=打开来源</x:v>
      </x:c>
      <x:c r="N154" s="3" t="str">
        <x:v>https://cxcyxy.cdu.edu.cn/info/1019/4390.htm</x:v>
      </x:c>
      <x:c r="O154" s="3" t="str">
        <x:v>通知介绍设计领域、赛制、团队人数及路演形式；定向主题仅列名称，详细命题仍以官方专题为准。</x:v>
      </x:c>
      <x:c r="P154" s="9" t="n">
        <x:v>46298</x:v>
      </x:c>
    </x:row>
    <x:row r="155" ht="44" customHeight="1">
      <x:c r="A155" s="3" t="n">
        <x:v>154</x:v>
      </x:c>
      <x:c r="B155" s="3" t="str">
        <x:v>2026066</x:v>
      </x:c>
      <x:c r="C155" s="3" t="str">
        <x:v>两岸新锐设计竞赛华灿奖</x:v>
      </x:c>
      <x:c r="D155" s="3" t="str">
        <x:v>第九届华灿奖参赛选手操作手册（往届）</x:v>
      </x:c>
      <x:c r="E155" s="3" t="str">
        <x:v>规则与模板</x:v>
      </x:c>
      <x:c r="F155" s="3" t="str">
        <x:v>华灿奖参赛操作手册／西南交通大学官网附件</x:v>
      </x:c>
      <x:c r="G155" s="3" t="str">
        <x:v>入门</x:v>
      </x:c>
      <x:c r="H155" s="3" t="str">
        <x:v>往届报名与投稿流程学习；不直接作为2026操作指令</x:v>
      </x:c>
      <x:c r="I155" s="3" t="str">
        <x:v>提前了解组队、确认成员、报名材料和作品提交的整体步骤。</x:v>
      </x:c>
      <x:c r="J155" s="3" t="str">
        <x:v>免费公开</x:v>
      </x:c>
      <x:c r="K155" s="3" t="str">
        <x:v>page_read</x:v>
      </x:c>
      <x:c r="L155" s="3" t="str">
        <x:v>已读来源页面</x:v>
      </x:c>
      <x:c r="M155" s="8" t="e">
        <x:f>HYPERLINK(N155,"打开来源")</x:f>
        <x:v>HYPERLINK is not implemented. linkLocation=https://jwc.swjtu.edu.cn/download/ueditor/jsp/upload/file/20240517/1715908451425086147.pdf, friendlyName=打开来源</x:v>
      </x:c>
      <x:c r="N155" s="3" t="str">
        <x:v>https://jwc.swjtu.edu.cn/download/ueditor/jsp/upload/file/20240517/1715908451425086147.pdf</x:v>
      </x:c>
      <x:c r="O155" s="3" t="str">
        <x:v>已读取22页手册，含流程图和常见问题。明确为第九届旧平台手册，2026开放后需重新核对界面及要求。</x:v>
      </x:c>
      <x:c r="P155" s="9" t="n">
        <x:v>46298</x:v>
      </x:c>
    </x:row>
    <x:row r="156" ht="44" customHeight="1">
      <x:c r="A156" s="3" t="n">
        <x:v>155</x:v>
      </x:c>
      <x:c r="B156" s="3" t="str">
        <x:v>2026067</x:v>
      </x:c>
      <x:c r="C156" s="3" t="str">
        <x:v>全国工业设计大赛</x:v>
      </x:c>
      <x:c r="D156" s="3" t="str">
        <x:v>2026第八届参赛材料要求（高校通知）</x:v>
      </x:c>
      <x:c r="E156" s="3" t="str">
        <x:v>规则与模板</x:v>
      </x:c>
      <x:c r="F156" s="3" t="str">
        <x:v>玉林师范学院教务处</x:v>
      </x:c>
      <x:c r="G156" s="3" t="str">
        <x:v>入门</x:v>
      </x:c>
      <x:c r="H156" s="3" t="str">
        <x:v>仅适用于候选CUIDC赛事的材料准备；校内安排不适用于同济</x:v>
      </x:c>
      <x:c r="I156" s="3" t="str">
        <x:v>学习如何准备设计展板、说明与演示视频。</x:v>
      </x:c>
      <x:c r="J156" s="3" t="str">
        <x:v>免费公开</x:v>
      </x:c>
      <x:c r="K156" s="3" t="str">
        <x:v>search_result</x:v>
      </x:c>
      <x:c r="L156" s="3" t="str">
        <x:v>仅搜索结果，待核对</x:v>
      </x:c>
      <x:c r="M156" s="8" t="e">
        <x:f>HYPERLINK(N156,"打开来源")</x:f>
        <x:v>HYPERLINK is not implemented. linkLocation=https://jwc.ylu.edu.cn/info/1003/7251.htm, friendlyName=打开来源</x:v>
      </x:c>
      <x:c r="N156" s="3" t="str">
        <x:v>https://jwc.ylu.edu.cn/info/1003/7251.htm</x:v>
      </x:c>
      <x:c r="O156" s="3" t="str">
        <x:v>页面摘要列出作品提交规范；实开超时。</x:v>
      </x:c>
      <x:c r="P156" s="9" t="n">
        <x:v>46298</x:v>
      </x:c>
    </x:row>
    <x:row r="157" ht="44" customHeight="1">
      <x:c r="A157" s="3" t="n">
        <x:v>156</x:v>
      </x:c>
      <x:c r="B157" s="3" t="str">
        <x:v>2026067</x:v>
      </x:c>
      <x:c r="C157" s="3" t="str">
        <x:v>全国工业设计大赛</x:v>
      </x:c>
      <x:c r="D157" s="3" t="str">
        <x:v>Rhino 8 User's Guide</x:v>
      </x:c>
      <x:c r="E157" s="3" t="str">
        <x:v>工具</x:v>
      </x:c>
      <x:c r="F157" s="3" t="str">
        <x:v>McNeel</x:v>
      </x:c>
      <x:c r="G157" s="3" t="str">
        <x:v>入门</x:v>
      </x:c>
      <x:c r="H157" s="3" t="str">
        <x:v>工业产品三维造型的通用技能；不代表赛事指定软件</x:v>
      </x:c>
      <x:c r="I157" s="3" t="str">
        <x:v>练习曲面建模和产品几何表达。</x:v>
      </x:c>
      <x:c r="J157" s="3" t="str">
        <x:v>免费公开</x:v>
      </x:c>
      <x:c r="K157" s="3" t="str">
        <x:v>page_read</x:v>
      </x:c>
      <x:c r="L157" s="3" t="str">
        <x:v>已读来源页面</x:v>
      </x:c>
      <x:c r="M157" s="8" t="e">
        <x:f>HYPERLINK(N157,"打开来源")</x:f>
        <x:v>HYPERLINK is not implemented. linkLocation=https://docs.mcneel.com/rhino/8/usersguide/en-us/index.htm, friendlyName=打开来源</x:v>
      </x:c>
      <x:c r="N157" s="3" t="str">
        <x:v>https://docs.mcneel.com/rhino/8/usersguide/en-us/index.htm</x:v>
      </x:c>
      <x:c r="O157" s="3" t="str">
        <x:v>官方Rhino用户指南入口；文档免费，软件授权另计。</x:v>
      </x:c>
      <x:c r="P157" s="9" t="n">
        <x:v>46298</x:v>
      </x:c>
    </x:row>
    <x:row r="158" ht="44" customHeight="1">
      <x:c r="A158" s="3" t="n">
        <x:v>157</x:v>
      </x:c>
      <x:c r="B158" s="3" t="str">
        <x:v>2026068</x:v>
      </x:c>
      <x:c r="C158" s="3" t="str">
        <x:v>未来设计师·全国高校数字艺术设计大赛</x:v>
      </x:c>
      <x:c r="D158" s="3" t="str">
        <x:v>NCDA竞赛办法与作品要求</x:v>
      </x:c>
      <x:c r="E158" s="3" t="str">
        <x:v>规则与模板</x:v>
      </x:c>
      <x:c r="F158" s="3" t="str">
        <x:v>未来设计师NCDA组委会</x:v>
      </x:c>
      <x:c r="G158" s="3" t="str">
        <x:v>入门</x:v>
      </x:c>
      <x:c r="H158" s="3" t="str">
        <x:v>2026第14届主体赛事</x:v>
      </x:c>
      <x:c r="I158" s="3" t="str">
        <x:v>先确定赛道、材料和作者人数，再安排创作。</x:v>
      </x:c>
      <x:c r="J158" s="3" t="str">
        <x:v>免费公开</x:v>
      </x:c>
      <x:c r="K158" s="3" t="str">
        <x:v>page_read</x:v>
      </x:c>
      <x:c r="L158" s="3" t="str">
        <x:v>已读来源页面</x:v>
      </x:c>
      <x:c r="M158" s="8" t="e">
        <x:f>HYPERLINK(N158,"打开来源")</x:f>
        <x:v>HYPERLINK is not implemented. linkLocation=https://www.ncda.org.cn/dsjs/dssz/, friendlyName=打开来源</x:v>
      </x:c>
      <x:c r="N158" s="3" t="str">
        <x:v>https://www.ncda.org.cn/dsjs/dssz/</x:v>
      </x:c>
      <x:c r="O158" s="3" t="str">
        <x:v>包括原创要求、推荐表、作品文件和宣传海报等材料。</x:v>
      </x:c>
      <x:c r="P158" s="9" t="n">
        <x:v>46298</x:v>
      </x:c>
    </x:row>
    <x:row r="159" ht="44" customHeight="1">
      <x:c r="A159" s="3" t="n">
        <x:v>158</x:v>
      </x:c>
      <x:c r="B159" s="3" t="str">
        <x:v>2026068</x:v>
      </x:c>
      <x:c r="C159" s="3" t="str">
        <x:v>未来设计师·全国高校数字艺术设计大赛</x:v>
      </x:c>
      <x:c r="D159" s="3" t="str">
        <x:v>NCDA大赛内容</x:v>
      </x:c>
      <x:c r="E159" s="3" t="str">
        <x:v>赛题</x:v>
      </x:c>
      <x:c r="F159" s="3" t="str">
        <x:v>未来设计师NCDA组委会</x:v>
      </x:c>
      <x:c r="G159" s="3" t="str">
        <x:v>入门</x:v>
      </x:c>
      <x:c r="H159" s="3" t="str">
        <x:v>按页面具体命题与类别选题</x:v>
      </x:c>
      <x:c r="I159" s="3" t="str">
        <x:v>将泛泛的设计想法转成对应赛项任务。</x:v>
      </x:c>
      <x:c r="J159" s="3" t="str">
        <x:v>免费公开</x:v>
      </x:c>
      <x:c r="K159" s="3" t="str">
        <x:v>page_read</x:v>
      </x:c>
      <x:c r="L159" s="3" t="str">
        <x:v>已读来源页面</x:v>
      </x:c>
      <x:c r="M159" s="8" t="e">
        <x:f>HYPERLINK(N159,"打开来源")</x:f>
        <x:v>HYPERLINK is not implemented. linkLocation=https://www.ncda.org.cn/dsjs/dsnr/, friendlyName=打开来源</x:v>
      </x:c>
      <x:c r="N159" s="3" t="str">
        <x:v>https://www.ncda.org.cn/dsjs/dsnr/</x:v>
      </x:c>
      <x:c r="O159" s="3" t="str">
        <x:v>官方赛项与命题入口；各专项要求需继续阅读对应链接。</x:v>
      </x:c>
      <x:c r="P159" s="9" t="n">
        <x:v>46298</x:v>
      </x:c>
    </x:row>
    <x:row r="160" ht="44" customHeight="1">
      <x:c r="A160" s="3" t="n">
        <x:v>159</x:v>
      </x:c>
      <x:c r="B160" s="3" t="str">
        <x:v>2026069</x:v>
      </x:c>
      <x:c r="C160" s="3" t="str">
        <x:v>中美青年创客大赛</x:v>
      </x:c>
      <x:c r="D160" s="3" t="str">
        <x:v>官方技术培训栏目</x:v>
      </x:c>
      <x:c r="E160" s="3" t="str">
        <x:v>课程与指南</x:v>
      </x:c>
      <x:c r="F160" s="3" t="str">
        <x:v>中美青年创客大赛工作组</x:v>
      </x:c>
      <x:c r="G160" s="3" t="str">
        <x:v>入门</x:v>
      </x:c>
      <x:c r="H160" s="3" t="str">
        <x:v>创客原型的技术准备，具体课程年份需逐条确认</x:v>
      </x:c>
      <x:c r="I160" s="3" t="str">
        <x:v>从赛事自身的培训入口选择与项目相关的技术。</x:v>
      </x:c>
      <x:c r="J160" s="3" t="str">
        <x:v>待确认</x:v>
      </x:c>
      <x:c r="K160" s="3" t="str">
        <x:v>official_index</x:v>
      </x:c>
      <x:c r="L160" s="3" t="str">
        <x:v>已确认索引或入口</x:v>
      </x:c>
      <x:c r="M160" s="8" t="e">
        <x:f>HYPERLINK(N160,"打开来源")</x:f>
        <x:v>HYPERLINK is not implemented. linkLocation=https://chinaus-maker.cscse.edu.cn/chinaus-maker/jspxyzc/534271/index.html, friendlyName=打开来源</x:v>
      </x:c>
      <x:c r="N160" s="3" t="str">
        <x:v>https://chinaus-maker.cscse.edu.cn/chinaus-maker/jspxyzc/534271/index.html</x:v>
      </x:c>
      <x:c r="O160" s="3" t="str">
        <x:v>已打开官方技术培训目录；未逐节播放。</x:v>
      </x:c>
      <x:c r="P160" s="9" t="n">
        <x:v>46298</x:v>
      </x:c>
    </x:row>
    <x:row r="161" ht="44" customHeight="1">
      <x:c r="A161" s="3" t="n">
        <x:v>160</x:v>
      </x:c>
      <x:c r="B161" s="3" t="str">
        <x:v>2026069</x:v>
      </x:c>
      <x:c r="C161" s="3" t="str">
        <x:v>中美青年创客大赛</x:v>
      </x:c>
      <x:c r="D161" s="3" t="str">
        <x:v>2025年获奖作品栏目</x:v>
      </x:c>
      <x:c r="E161" s="3" t="str">
        <x:v>作品案例</x:v>
      </x:c>
      <x:c r="F161" s="3" t="str">
        <x:v>中美青年创客大赛工作组</x:v>
      </x:c>
      <x:c r="G161" s="3" t="str">
        <x:v>入门</x:v>
      </x:c>
      <x:c r="H161" s="3" t="str">
        <x:v>往届选题和展示方式参考</x:v>
      </x:c>
      <x:c r="I161" s="3" t="str">
        <x:v>对照真实获奖项目组织问题、原型及应用价值。</x:v>
      </x:c>
      <x:c r="J161" s="3" t="str">
        <x:v>免费公开</x:v>
      </x:c>
      <x:c r="K161" s="3" t="str">
        <x:v>official_index</x:v>
      </x:c>
      <x:c r="L161" s="3" t="str">
        <x:v>已确认索引或入口</x:v>
      </x:c>
      <x:c r="M161" s="8" t="e">
        <x:f>HYPERLINK(N161,"打开来源")</x:f>
        <x:v>HYPERLINK is not implemented. linkLocation=https://chinaus-maker.cscse.edu.cn/chinaus-maker/hjzp/2025nhjzp/index.html, friendlyName=打开来源</x:v>
      </x:c>
      <x:c r="N161" s="3" t="str">
        <x:v>https://chinaus-maker.cscse.edu.cn/chinaus-maker/hjzp/2025nhjzp/index.html</x:v>
      </x:c>
      <x:c r="O161" s="3" t="str">
        <x:v>官方往届作品栏目；不作为2026新规则。</x:v>
      </x:c>
      <x:c r="P161" s="9" t="n">
        <x:v>46298</x:v>
      </x:c>
    </x:row>
    <x:row r="162" ht="44" customHeight="1">
      <x:c r="A162" s="3" t="n">
        <x:v>161</x:v>
      </x:c>
      <x:c r="B162" s="3" t="str">
        <x:v>2026069</x:v>
      </x:c>
      <x:c r="C162" s="3" t="str">
        <x:v>中美青年创客大赛</x:v>
      </x:c>
      <x:c r="D162" s="3" t="str">
        <x:v>Arduino Learn</x:v>
      </x:c>
      <x:c r="E162" s="3" t="str">
        <x:v>工具</x:v>
      </x:c>
      <x:c r="F162" s="3" t="str">
        <x:v>Arduino</x:v>
      </x:c>
      <x:c r="G162" s="3" t="str">
        <x:v>入门</x:v>
      </x:c>
      <x:c r="H162" s="3" t="str">
        <x:v>需要传感器、执行器或嵌入式原型的项目</x:v>
      </x:c>
      <x:c r="I162" s="3" t="str">
        <x:v>补齐输入输出、通信和硬件调试基础。</x:v>
      </x:c>
      <x:c r="J162" s="3" t="str">
        <x:v>免费公开</x:v>
      </x:c>
      <x:c r="K162" s="3" t="str">
        <x:v>page_read</x:v>
      </x:c>
      <x:c r="L162" s="3" t="str">
        <x:v>已读来源页面</x:v>
      </x:c>
      <x:c r="M162" s="8" t="e">
        <x:f>HYPERLINK(N162,"打开来源")</x:f>
        <x:v>HYPERLINK is not implemented. linkLocation=https://docs.arduino.cc/learn/, friendlyName=打开来源</x:v>
      </x:c>
      <x:c r="N162" s="3" t="str">
        <x:v>https://docs.arduino.cc/learn/</x:v>
      </x:c>
      <x:c r="O162" s="3" t="str">
        <x:v>官方学习目录涵盖入门、编程、电子与通信；不是赛事强制平台。</x:v>
      </x:c>
      <x:c r="P162" s="9" t="n">
        <x:v>46298</x:v>
      </x:c>
    </x:row>
    <x:row r="163" ht="44" customHeight="1">
      <x:c r="A163" s="3" t="n">
        <x:v>162</x:v>
      </x:c>
      <x:c r="B163" s="3" t="str">
        <x:v>2026070</x:v>
      </x:c>
      <x:c r="C163" s="3" t="str">
        <x:v>国际遗传工程机器大赛（IGEM）</x:v>
      </x:c>
      <x:c r="D163" s="3" t="str">
        <x:v>iGEM Judge Handbook</x:v>
      </x:c>
      <x:c r="E163" s="3" t="str">
        <x:v>规则与模板</x:v>
      </x:c>
      <x:c r="F163" s="3" t="str">
        <x:v>iGEM Foundation</x:v>
      </x:c>
      <x:c r="G163" s="3" t="str">
        <x:v>入门</x:v>
      </x:c>
      <x:c r="H163" s="3" t="str">
        <x:v>2026评审理解；其他年度手册仅作历史参考</x:v>
      </x:c>
      <x:c r="I163" s="3" t="str">
        <x:v>按评审要求反推项目证据和展示材料。</x:v>
      </x:c>
      <x:c r="J163" s="3" t="str">
        <x:v>免费公开</x:v>
      </x:c>
      <x:c r="K163" s="3" t="str">
        <x:v>search_result</x:v>
      </x:c>
      <x:c r="L163" s="3" t="str">
        <x:v>仅搜索结果，待核对</x:v>
      </x:c>
      <x:c r="M163" s="8" t="e">
        <x:f>HYPERLINK(N163,"打开来源")</x:f>
        <x:v>HYPERLINK is not implemented. linkLocation=https://competition.igem.org/judging/handbook, friendlyName=打开来源</x:v>
      </x:c>
      <x:c r="N163" s="3" t="str">
        <x:v>https://competition.igem.org/judging/handbook</x:v>
      </x:c>
      <x:c r="O163" s="3" t="str">
        <x:v>官方索引列出2026评审手册及历年版本。</x:v>
      </x:c>
      <x:c r="P163" s="9" t="n">
        <x:v>46298</x:v>
      </x:c>
    </x:row>
    <x:row r="164" ht="44" customHeight="1">
      <x:c r="A164" s="3" t="n">
        <x:v>163</x:v>
      </x:c>
      <x:c r="B164" s="3" t="str">
        <x:v>2026070</x:v>
      </x:c>
      <x:c r="C164" s="3" t="str">
        <x:v>国际遗传工程机器大赛（IGEM）</x:v>
      </x:c>
      <x:c r="D164" s="3" t="str">
        <x:v>iGEM Rules and Policies</x:v>
      </x:c>
      <x:c r="E164" s="3" t="str">
        <x:v>规则与模板</x:v>
      </x:c>
      <x:c r="F164" s="3" t="str">
        <x:v>iGEM Foundation</x:v>
      </x:c>
      <x:c r="G164" s="3" t="str">
        <x:v>入门</x:v>
      </x:c>
      <x:c r="H164" s="3" t="str">
        <x:v>合成生物学项目的安全、署名及AI使用约束</x:v>
      </x:c>
      <x:c r="I164" s="3" t="str">
        <x:v>在选题前确认安全与责任要求。</x:v>
      </x:c>
      <x:c r="J164" s="3" t="str">
        <x:v>免费公开</x:v>
      </x:c>
      <x:c r="K164" s="3" t="str">
        <x:v>search_result</x:v>
      </x:c>
      <x:c r="L164" s="3" t="str">
        <x:v>仅搜索结果，待核对</x:v>
      </x:c>
      <x:c r="M164" s="8" t="e">
        <x:f>HYPERLINK(N164,"打开来源")</x:f>
        <x:v>HYPERLINK is not implemented. linkLocation=https://competition.igem.org/about/rules-and-policies, friendlyName=打开来源</x:v>
      </x:c>
      <x:c r="N164" s="3" t="str">
        <x:v>https://competition.igem.org/about/rules-and-policies</x:v>
      </x:c>
      <x:c r="O164" s="3" t="str">
        <x:v>包含安全、团队、资料展示、归属及AI政策入口。</x:v>
      </x:c>
      <x:c r="P164" s="9" t="n">
        <x:v>46298</x:v>
      </x:c>
    </x:row>
    <x:row r="165" ht="44" customHeight="1">
      <x:c r="A165" s="3" t="n">
        <x:v>164</x:v>
      </x:c>
      <x:c r="B165" s="3" t="str">
        <x:v>2026070</x:v>
      </x:c>
      <x:c r="C165" s="3" t="str">
        <x:v>国际遗传工程机器大赛（IGEM）</x:v>
      </x:c>
      <x:c r="D165" s="3" t="str">
        <x:v>iGEM Deliverables</x:v>
      </x:c>
      <x:c r="E165" s="3" t="str">
        <x:v>规则与模板</x:v>
      </x:c>
      <x:c r="F165" s="3" t="str">
        <x:v>iGEM Foundation</x:v>
      </x:c>
      <x:c r="G165" s="3" t="str">
        <x:v>通用</x:v>
      </x:c>
      <x:c r="H165" s="3" t="str">
        <x:v>2026交付物管理与材料规划</x:v>
      </x:c>
      <x:c r="I165" s="3" t="str">
        <x:v>区分必交、可选与现场展示材料。</x:v>
      </x:c>
      <x:c r="J165" s="3" t="str">
        <x:v>免费公开</x:v>
      </x:c>
      <x:c r="K165" s="3" t="str">
        <x:v>search_result</x:v>
      </x:c>
      <x:c r="L165" s="3" t="str">
        <x:v>仅搜索结果，待核对</x:v>
      </x:c>
      <x:c r="M165" s="8" t="e">
        <x:f>HYPERLINK(N165,"打开来源")</x:f>
        <x:v>HYPERLINK is not implemented. linkLocation=https://competition.igem.org/deliverables/, friendlyName=打开来源</x:v>
      </x:c>
      <x:c r="N165" s="3" t="str">
        <x:v>https://competition.igem.org/deliverables/</x:v>
      </x:c>
      <x:c r="O165" s="3" t="str">
        <x:v>官方索引说明12类交付物、提交入口和赛季时间表。</x:v>
      </x:c>
      <x:c r="P165" s="9" t="n">
        <x:v>46298</x:v>
      </x:c>
    </x:row>
    <x:row r="166" ht="50" customHeight="1">
      <x:c r="A166" s="3" t="n">
        <x:v>165</x:v>
      </x:c>
      <x:c r="B166" s="3" t="str">
        <x:v>2026071</x:v>
      </x:c>
      <x:c r="C166" s="3" t="str">
        <x:v>全国大学生生命科学竞赛（创新创业类）</x:v>
      </x:c>
      <x:c r="D166" s="3" t="str">
        <x:v>创新创业类报名通知与内容要求</x:v>
      </x:c>
      <x:c r="E166" s="3" t="str">
        <x:v>规则与模板</x:v>
      </x:c>
      <x:c r="F166" s="3" t="str">
        <x:v>全国大学生生命科学竞赛委员会</x:v>
      </x:c>
      <x:c r="G166" s="3" t="str">
        <x:v>入门</x:v>
      </x:c>
      <x:c r="H166" s="3" t="str">
        <x:v>2026创新创业类</x:v>
      </x:c>
      <x:c r="I166" s="3" t="str">
        <x:v>先分清创新组和创业组，再整理成果证据与材料。</x:v>
      </x:c>
      <x:c r="J166" s="3" t="str">
        <x:v>免费公开</x:v>
      </x:c>
      <x:c r="K166" s="3" t="str">
        <x:v>search_result</x:v>
      </x:c>
      <x:c r="L166" s="3" t="str">
        <x:v>仅搜索结果，待核对</x:v>
      </x:c>
      <x:c r="M166" s="8" t="e">
        <x:f>HYPERLINK(N166,"打开来源")</x:f>
        <x:v>HYPERLINK is not implemented. linkLocation=https://cbs.cau.edu.cn/module/download/downfile.jsp?classid=0&amp;filename=c088354256534e789eefde0370b9d2d4.pdf, friendlyName=打开来源</x:v>
      </x:c>
      <x:c r="N166" s="3" t="str">
        <x:v>https://cbs.cau.edu.cn/module/download/downfile.jsp?classid=0&amp;filename=c088354256534e789eefde0370b9d2d4.pdf</x:v>
      </x:c>
      <x:c r="O166" s="3" t="str">
        <x:v>高校公开的官方通知PDF；本次直接读取超时。</x:v>
      </x:c>
      <x:c r="P166" s="9" t="n">
        <x:v>46298</x:v>
      </x:c>
    </x:row>
    <x:row r="167" ht="44" customHeight="1">
      <x:c r="A167" s="3" t="n">
        <x:v>166</x:v>
      </x:c>
      <x:c r="B167" s="3" t="str">
        <x:v>2026071</x:v>
      </x:c>
      <x:c r="C167" s="3" t="str">
        <x:v>全国大学生生命科学竞赛（创新创业类）</x:v>
      </x:c>
      <x:c r="D167" s="3" t="str">
        <x:v>创新创业类往届公开答辩项目</x:v>
      </x:c>
      <x:c r="E167" s="3" t="str">
        <x:v>作品案例</x:v>
      </x:c>
      <x:c r="F167" s="3" t="str">
        <x:v>全国大学生生命科学竞赛委员会</x:v>
      </x:c>
      <x:c r="G167" s="3" t="str">
        <x:v>进阶</x:v>
      </x:c>
      <x:c r="H167" s="3" t="str">
        <x:v>第九届创新创业类项目1/2，仅作答辩学习</x:v>
      </x:c>
      <x:c r="I167" s="3" t="str">
        <x:v>学习成果说明与答辩组织，避免套用科学探究类模板。</x:v>
      </x:c>
      <x:c r="J167" s="3" t="str">
        <x:v>待确认</x:v>
      </x:c>
      <x:c r="K167" s="3" t="str">
        <x:v>search_result</x:v>
      </x:c>
      <x:c r="L167" s="3" t="str">
        <x:v>仅搜索结果，待核对</x:v>
      </x:c>
      <x:c r="M167" s="8" t="e">
        <x:f>HYPERLINK(N167,"打开来源")</x:f>
        <x:v>HYPERLINK is not implemented. linkLocation=https://culsc.cn/sitehome/, friendlyName=打开来源</x:v>
      </x:c>
      <x:c r="N167" s="3" t="str">
        <x:v>https://culsc.cn/sitehome/</x:v>
      </x:c>
      <x:c r="O167" s="3" t="str">
        <x:v>官方首页索引明确列出创新创业类公开答辩栏目；视频访问条件待确认。</x:v>
      </x:c>
      <x:c r="P167" s="9" t="n">
        <x:v>46298</x:v>
      </x:c>
    </x:row>
    <x:row r="168" ht="44" customHeight="1">
      <x:c r="A168" s="3" t="n">
        <x:v>167</x:v>
      </x:c>
      <x:c r="B168" s="3" t="str">
        <x:v>2026072</x:v>
      </x:c>
      <x:c r="C168" s="3" t="str">
        <x:v>全国大学生生命科学竞赛（科学探究类）</x:v>
      </x:c>
      <x:c r="D168" s="3" t="str">
        <x:v>科学探究类实验过程与评审要求</x:v>
      </x:c>
      <x:c r="E168" s="3" t="str">
        <x:v>规则与模板</x:v>
      </x:c>
      <x:c r="F168" s="3" t="str">
        <x:v>全国大学生生命科学竞赛委员会</x:v>
      </x:c>
      <x:c r="G168" s="3" t="str">
        <x:v>入门</x:v>
      </x:c>
      <x:c r="H168" s="3" t="str">
        <x:v>第十一届科学探究类</x:v>
      </x:c>
      <x:c r="I168" s="3" t="str">
        <x:v>把研究问题、实验设计、记录和论文建立对应关系。</x:v>
      </x:c>
      <x:c r="J168" s="3" t="str">
        <x:v>免费公开</x:v>
      </x:c>
      <x:c r="K168" s="3" t="str">
        <x:v>page_read</x:v>
      </x:c>
      <x:c r="L168" s="3" t="str">
        <x:v>已读来源页面</x:v>
      </x:c>
      <x:c r="M168" s="8" t="e">
        <x:f>HYPERLINK(N168,"打开来源")</x:f>
        <x:v>HYPERLINK is not implemented. linkLocation=https://sky.yangtzeu.edu.cn/__local/E/24/1B/85D922800D61F0CC331CE340B1D_93B0E90E_977FA.pdf, friendlyName=打开来源</x:v>
      </x:c>
      <x:c r="N168" s="3" t="str">
        <x:v>https://sky.yangtzeu.edu.cn/__local/E/24/1B/85D922800D61F0CC331CE340B1D_93B0E90E_977FA.pdf</x:v>
      </x:c>
      <x:c r="O168" s="3" t="str">
        <x:v>官方评分说明强调数据来源、过程记录与结论一致性。</x:v>
      </x:c>
      <x:c r="P168" s="9" t="n">
        <x:v>46298</x:v>
      </x:c>
    </x:row>
    <x:row r="169" ht="50" customHeight="1">
      <x:c r="A169" s="3" t="n">
        <x:v>168</x:v>
      </x:c>
      <x:c r="B169" s="3" t="str">
        <x:v>2026072</x:v>
      </x:c>
      <x:c r="C169" s="3" t="str">
        <x:v>全国大学生生命科学竞赛（科学探究类）</x:v>
      </x:c>
      <x:c r="D169" s="3" t="str">
        <x:v>第十一届科学探究类系统操作手册</x:v>
      </x:c>
      <x:c r="E169" s="3" t="str">
        <x:v>规则与模板</x:v>
      </x:c>
      <x:c r="F169" s="3" t="str">
        <x:v>全国大学生生命科学竞赛／上海健康医学院公开附件</x:v>
      </x:c>
      <x:c r="G169" s="3" t="str">
        <x:v>入门</x:v>
      </x:c>
      <x:c r="H169" s="3" t="str">
        <x:v>本届组队及资料上传操作</x:v>
      </x:c>
      <x:c r="I169" s="3" t="str">
        <x:v>避免因成员未确认或材料顺序错误影响提交。</x:v>
      </x:c>
      <x:c r="J169" s="3" t="str">
        <x:v>免费公开</x:v>
      </x:c>
      <x:c r="K169" s="3" t="str">
        <x:v>search_result</x:v>
      </x:c>
      <x:c r="L169" s="3" t="str">
        <x:v>仅搜索结果，待核对</x:v>
      </x:c>
      <x:c r="M169" s="8" t="e">
        <x:f>HYPERLINK(N169,"打开来源")</x:f>
        <x:v>HYPERLINK is not implemented. linkLocation=https://xxgk.sumhs.edu.cn/_upload/article/files/d3/d5/f8ac2aa2462fbb2c0bca914b669b/63788f18-9df9-4a04-ad2d-bcb8a031567d.pdf, friendlyName=打开来源</x:v>
      </x:c>
      <x:c r="N169" s="3" t="str">
        <x:v>https://xxgk.sumhs.edu.cn/_upload/article/files/d3/d5/f8ac2aa2462fbb2c0bca914b669b/63788f18-9df9-4a04-ad2d-bcb8a031567d.pdf</x:v>
      </x:c>
      <x:c r="O169" s="3" t="str">
        <x:v>索引显示注册、组队、上传和账号权限说明；实开超时。</x:v>
      </x:c>
      <x:c r="P169" s="9" t="n">
        <x:v>46298</x:v>
      </x:c>
    </x:row>
    <x:row r="170" ht="44" customHeight="1">
      <x:c r="A170" s="3" t="n">
        <x:v>169</x:v>
      </x:c>
      <x:c r="B170" s="3" t="str">
        <x:v>2026072</x:v>
      </x:c>
      <x:c r="C170" s="3" t="str">
        <x:v>全国大学生生命科学竞赛（科学探究类）</x:v>
      </x:c>
      <x:c r="D170" s="3" t="str">
        <x:v>论文要求与实验记录模板附件入口</x:v>
      </x:c>
      <x:c r="E170" s="3" t="str">
        <x:v>规则与模板</x:v>
      </x:c>
      <x:c r="F170" s="3" t="str">
        <x:v>上海健康医学院教务处</x:v>
      </x:c>
      <x:c r="G170" s="3" t="str">
        <x:v>通用</x:v>
      </x:c>
      <x:c r="H170" s="3" t="str">
        <x:v>第十一届科学探究类全国模板；排除该校报名表</x:v>
      </x:c>
      <x:c r="I170" s="3" t="str">
        <x:v>规范记录与论文结构，保留真实原始数据。</x:v>
      </x:c>
      <x:c r="J170" s="3" t="str">
        <x:v>免费公开</x:v>
      </x:c>
      <x:c r="K170" s="3" t="str">
        <x:v>search_result</x:v>
      </x:c>
      <x:c r="L170" s="3" t="str">
        <x:v>仅搜索结果，待核对</x:v>
      </x:c>
      <x:c r="M170" s="8" t="e">
        <x:f>HYPERLINK(N170,"打开来源")</x:f>
        <x:v>HYPERLINK is not implemented. linkLocation=https://xxgk.sumhs.edu.cn/67/cd/c2177a288717/page.htm, friendlyName=打开来源</x:v>
      </x:c>
      <x:c r="N170" s="3" t="str">
        <x:v>https://xxgk.sumhs.edu.cn/67/cd/c2177a288717/page.htm</x:v>
      </x:c>
      <x:c r="O170" s="3" t="str">
        <x:v>高校附件目录列出论文要求、实验记录模板、承诺书和操作手册。</x:v>
      </x:c>
      <x:c r="P170" s="9" t="n">
        <x:v>46298</x:v>
      </x:c>
    </x:row>
    <x:row r="171" ht="44" customHeight="1">
      <x:c r="A171" s="3" t="n">
        <x:v>170</x:v>
      </x:c>
      <x:c r="B171" s="3" t="str">
        <x:v>2026073</x:v>
      </x:c>
      <x:c r="C171" s="3" t="str">
        <x:v>第十八届全国大学生数学竞赛</x:v>
      </x:c>
      <x:c r="D171" s="3" t="str">
        <x:v>大学数学竞赛历届试题与参考答案</x:v>
      </x:c>
      <x:c r="E171" s="3" t="str">
        <x:v>赛题</x:v>
      </x:c>
      <x:c r="F171" s="3" t="str">
        <x:v>厦门大学高等代数精品课程</x:v>
      </x:c>
      <x:c r="G171" s="3" t="str">
        <x:v>进阶</x:v>
      </x:c>
      <x:c r="H171" s="3" t="str">
        <x:v>往届全国大学生数学竞赛，须按数学/非数学类别选题</x:v>
      </x:c>
      <x:c r="I171" s="3" t="str">
        <x:v>先限时完成真题，再用参考答案复盘。</x:v>
      </x:c>
      <x:c r="J171" s="3" t="str">
        <x:v>免费公开</x:v>
      </x:c>
      <x:c r="K171" s="3" t="str">
        <x:v>official_index</x:v>
      </x:c>
      <x:c r="L171" s="3" t="str">
        <x:v>已确认索引或入口</x:v>
      </x:c>
      <x:c r="M171" s="8" t="e">
        <x:f>HYPERLINK(N171,"打开来源")</x:f>
        <x:v>HYPERLINK is not implemented. linkLocation=https://gdjpkc.xmu.edu.cn/DocumentList.aspx?cID=22&amp;dID=383, friendlyName=打开来源</x:v>
      </x:c>
      <x:c r="N171" s="3" t="str">
        <x:v>https://gdjpkc.xmu.edu.cn/DocumentList.aspx?cID=22&amp;dID=383</x:v>
      </x:c>
      <x:c r="O171" s="3" t="str">
        <x:v>已读高校题库目录，含2025第17届初赛及更早届次分类试题。</x:v>
      </x:c>
      <x:c r="P171" s="9" t="n">
        <x:v>46298</x:v>
      </x:c>
    </x:row>
    <x:row r="172" ht="44" customHeight="1">
      <x:c r="A172" s="3" t="n">
        <x:v>171</x:v>
      </x:c>
      <x:c r="B172" s="3" t="str">
        <x:v>2026073</x:v>
      </x:c>
      <x:c r="C172" s="3" t="str">
        <x:v>第十八届全国大学生数学竞赛</x:v>
      </x:c>
      <x:c r="D172" s="3" t="str">
        <x:v>MIT单变量微积分公开课18.01SC</x:v>
      </x:c>
      <x:c r="E172" s="3" t="str">
        <x:v>课程与指南</x:v>
      </x:c>
      <x:c r="F172" s="3" t="str">
        <x:v>MIT OpenCourseWare</x:v>
      </x:c>
      <x:c r="G172" s="3" t="str">
        <x:v>入门</x:v>
      </x:c>
      <x:c r="H172" s="3" t="str">
        <x:v>微积分基础补强，不能替代本届竞赛大纲</x:v>
      </x:c>
      <x:c r="I172" s="3" t="str">
        <x:v>结合讲解、例题和练习补齐导数、积分等基础。</x:v>
      </x:c>
      <x:c r="J172" s="3" t="str">
        <x:v>免费公开</x:v>
      </x:c>
      <x:c r="K172" s="3" t="str">
        <x:v>page_read</x:v>
      </x:c>
      <x:c r="L172" s="3" t="str">
        <x:v>已读来源页面</x:v>
      </x:c>
      <x:c r="M172" s="8" t="e">
        <x:f>HYPERLINK(N172,"打开来源")</x:f>
        <x:v>HYPERLINK is not implemented. linkLocation=https://ocw.mit.edu/courses/18-01sc-single-variable-calculus-fall-2010/, friendlyName=打开来源</x:v>
      </x:c>
      <x:c r="N172" s="3" t="str">
        <x:v>https://ocw.mit.edu/courses/18-01sc-single-variable-calculus-fall-2010/</x:v>
      </x:c>
      <x:c r="O172" s="3" t="str">
        <x:v>公开课程含教学资源与练习；英语授课，属通用基础。</x:v>
      </x:c>
      <x:c r="P172" s="9" t="n">
        <x:v>46298</x:v>
      </x:c>
    </x:row>
    <x:row r="173" ht="44" customHeight="1">
      <x:c r="A173" s="3" t="n">
        <x:v>172</x:v>
      </x:c>
      <x:c r="B173" s="3" t="str">
        <x:v>2026074</x:v>
      </x:c>
      <x:c r="C173" s="3" t="str">
        <x:v>全国大学生数学建模竞赛(2026)</x:v>
      </x:c>
      <x:c r="D173" s="3" t="str">
        <x:v>历年竞赛赛题</x:v>
      </x:c>
      <x:c r="E173" s="3" t="str">
        <x:v>赛题</x:v>
      </x:c>
      <x:c r="F173" s="3" t="str">
        <x:v>全国大学生数学建模竞赛组委会</x:v>
      </x:c>
      <x:c r="G173" s="3" t="str">
        <x:v>入门</x:v>
      </x:c>
      <x:c r="H173" s="3" t="str">
        <x:v>2026及往届国赛题目；训练时注明年度</x:v>
      </x:c>
      <x:c r="I173" s="3" t="str">
        <x:v>按完整问题练习建模、计算验证及论文组织。</x:v>
      </x:c>
      <x:c r="J173" s="3" t="str">
        <x:v>免费公开</x:v>
      </x:c>
      <x:c r="K173" s="3" t="str">
        <x:v>official_index</x:v>
      </x:c>
      <x:c r="L173" s="3" t="str">
        <x:v>已确认索引或入口</x:v>
      </x:c>
      <x:c r="M173" s="8" t="e">
        <x:f>HYPERLINK(N173,"打开来源")</x:f>
        <x:v>HYPERLINK is not implemented. linkLocation=https://www.mcm.edu.cn/html_cn/block/8579f5fce999cdc896f78bca5d4f8237.html, friendlyName=打开来源</x:v>
      </x:c>
      <x:c r="N173" s="3" t="str">
        <x:v>https://www.mcm.edu.cn/html_cn/block/8579f5fce999cdc896f78bca5d4f8237.html</x:v>
      </x:c>
      <x:c r="O173" s="3" t="str">
        <x:v>官方列表含2026及历年赛题链接。</x:v>
      </x:c>
      <x:c r="P173" s="9" t="n">
        <x:v>46298</x:v>
      </x:c>
    </x:row>
    <x:row r="174" ht="44" customHeight="1">
      <x:c r="A174" s="3" t="n">
        <x:v>173</x:v>
      </x:c>
      <x:c r="B174" s="3" t="str">
        <x:v>2026074</x:v>
      </x:c>
      <x:c r="C174" s="3" t="str">
        <x:v>全国大学生数学建模竞赛(2026)</x:v>
      </x:c>
      <x:c r="D174" s="3" t="str">
        <x:v>2026年高教社杯赛题发布页</x:v>
      </x:c>
      <x:c r="E174" s="3" t="str">
        <x:v>赛题</x:v>
      </x:c>
      <x:c r="F174" s="3" t="str">
        <x:v>全国大学生数学建模竞赛组委会</x:v>
      </x:c>
      <x:c r="G174" s="3" t="str">
        <x:v>进阶</x:v>
      </x:c>
      <x:c r="H174" s="3" t="str">
        <x:v>2026当届赛题复盘</x:v>
      </x:c>
      <x:c r="I174" s="3" t="str">
        <x:v>从原题与附件出发检查模型假设和结果解释。</x:v>
      </x:c>
      <x:c r="J174" s="3" t="str">
        <x:v>免费公开</x:v>
      </x:c>
      <x:c r="K174" s="3" t="str">
        <x:v>page_read</x:v>
      </x:c>
      <x:c r="L174" s="3" t="str">
        <x:v>已读来源页面</x:v>
      </x:c>
      <x:c r="M174" s="8" t="e">
        <x:f>HYPERLINK(N174,"打开来源")</x:f>
        <x:v>HYPERLINK is not implemented. linkLocation=https://www.mcm.edu.cn/html_cn/node/27b6e148f8113f09b0269f64a02629fb.html, friendlyName=打开来源</x:v>
      </x:c>
      <x:c r="N174" s="3" t="str">
        <x:v>https://www.mcm.edu.cn/html_cn/node/27b6e148f8113f09b0269f64a02629fb.html</x:v>
      </x:c>
      <x:c r="O174" s="3" t="str">
        <x:v>已打开官方赛题发布页；各题压缩附件未全部下载。</x:v>
      </x:c>
      <x:c r="P174" s="9" t="n">
        <x:v>46298</x:v>
      </x:c>
    </x:row>
    <x:row r="175" ht="44" customHeight="1">
      <x:c r="A175" s="3" t="n">
        <x:v>174</x:v>
      </x:c>
      <x:c r="B175" s="3" t="str">
        <x:v>2026074</x:v>
      </x:c>
      <x:c r="C175" s="3" t="str">
        <x:v>全国大学生数学建模竞赛(2026)</x:v>
      </x:c>
      <x:c r="D175" s="3" t="str">
        <x:v>高校数学建模课程中心</x:v>
      </x:c>
      <x:c r="E175" s="3" t="str">
        <x:v>课程与指南</x:v>
      </x:c>
      <x:c r="F175" s="3" t="str">
        <x:v>爱课程／高校数学建模课程中心</x:v>
      </x:c>
      <x:c r="G175" s="3" t="str">
        <x:v>入门</x:v>
      </x:c>
      <x:c r="H175" s="3" t="str">
        <x:v>数学建模通用训练</x:v>
      </x:c>
      <x:c r="I175" s="3" t="str">
        <x:v>由官方赛事链接进入课程，系统学习建模方法。</x:v>
      </x:c>
      <x:c r="J175" s="3" t="str">
        <x:v>待确认</x:v>
      </x:c>
      <x:c r="K175" s="3" t="str">
        <x:v>official_index</x:v>
      </x:c>
      <x:c r="L175" s="3" t="str">
        <x:v>已确认索引或入口</x:v>
      </x:c>
      <x:c r="M175" s="8" t="e">
        <x:f>HYPERLINK(N175,"打开来源")</x:f>
        <x:v>HYPERLINK is not implemented. linkLocation=https://cumcm.icourses.cn/, friendlyName=打开来源</x:v>
      </x:c>
      <x:c r="N175" s="3" t="str">
        <x:v>https://cumcm.icourses.cn/</x:v>
      </x:c>
      <x:c r="O175" s="3" t="str">
        <x:v>官网直接链接的课程中心已打开；具体课程播放和登录条件待确认。</x:v>
      </x:c>
      <x:c r="P175" s="9" t="n">
        <x:v>46298</x:v>
      </x:c>
    </x:row>
    <x:row r="176" ht="44" customHeight="1">
      <x:c r="A176" s="3" t="n">
        <x:v>175</x:v>
      </x:c>
      <x:c r="B176" s="3" t="str">
        <x:v>2026075</x:v>
      </x:c>
      <x:c r="C176" s="3" t="str">
        <x:v>全国大学生统计建模大赛（2026）</x:v>
      </x:c>
      <x:c r="D176" s="3" t="str">
        <x:v>2026官方培训课程通知</x:v>
      </x:c>
      <x:c r="E176" s="3" t="str">
        <x:v>课程与指南</x:v>
      </x:c>
      <x:c r="F176" s="3" t="str">
        <x:v>大赛组委会</x:v>
      </x:c>
      <x:c r="G176" s="3" t="str">
        <x:v>入门</x:v>
      </x:c>
      <x:c r="H176" s="3" t="str">
        <x:v>2026统计建模主题与研究方法</x:v>
      </x:c>
      <x:c r="I176" s="3" t="str">
        <x:v>先学习选题与建模流程，避免只罗列算法。</x:v>
      </x:c>
      <x:c r="J176" s="3" t="str">
        <x:v>待确认</x:v>
      </x:c>
      <x:c r="K176" s="3" t="str">
        <x:v>search_result</x:v>
      </x:c>
      <x:c r="L176" s="3" t="str">
        <x:v>仅搜索结果，待核对</x:v>
      </x:c>
      <x:c r="M176" s="8" t="e">
        <x:f>HYPERLINK(N176,"打开来源")</x:f>
        <x:v>HYPERLINK is not implemented. linkLocation=https://www.ai-learning.net/pxzy/37123.jhtml, friendlyName=打开来源</x:v>
      </x:c>
      <x:c r="N176" s="3" t="str">
        <x:v>https://www.ai-learning.net/pxzy/37123.jhtml</x:v>
      </x:c>
      <x:c r="O176" s="3" t="str">
        <x:v>列出主题讲解、流程方法和AI规范等课程；视频通过二维码进入。</x:v>
      </x:c>
      <x:c r="P176" s="9" t="n">
        <x:v>46298</x:v>
      </x:c>
    </x:row>
    <x:row r="177" ht="44" customHeight="1">
      <x:c r="A177" s="3" t="n">
        <x:v>176</x:v>
      </x:c>
      <x:c r="B177" s="3" t="str">
        <x:v>2026075</x:v>
      </x:c>
      <x:c r="C177" s="3" t="str">
        <x:v>全国大学生统计建模大赛（2026）</x:v>
      </x:c>
      <x:c r="D177" s="3" t="str">
        <x:v>生成式AI工具使用规范</x:v>
      </x:c>
      <x:c r="E177" s="3" t="str">
        <x:v>规则与模板</x:v>
      </x:c>
      <x:c r="F177" s="3" t="str">
        <x:v>全国大学生统计建模大赛组委会</x:v>
      </x:c>
      <x:c r="G177" s="3" t="str">
        <x:v>通用</x:v>
      </x:c>
      <x:c r="H177" s="3" t="str">
        <x:v>赛事中使用AI辅助选题、代码与写作</x:v>
      </x:c>
      <x:c r="I177" s="3" t="str">
        <x:v>按官方要求保留使用说明，核验内容真实性。</x:v>
      </x:c>
      <x:c r="J177" s="3" t="str">
        <x:v>免费公开</x:v>
      </x:c>
      <x:c r="K177" s="3" t="str">
        <x:v>search_result</x:v>
      </x:c>
      <x:c r="L177" s="3" t="str">
        <x:v>仅搜索结果，待核对</x:v>
      </x:c>
      <x:c r="M177" s="8" t="e">
        <x:f>HYPERLINK(N177,"打开来源")</x:f>
        <x:v>HYPERLINK is not implemented. linkLocation=https://www.ai-learning.net/gyds/37114.jhtml, friendlyName=打开来源</x:v>
      </x:c>
      <x:c r="N177" s="3" t="str">
        <x:v>https://www.ai-learning.net/gyds/37114.jhtml</x:v>
      </x:c>
      <x:c r="O177" s="3" t="str">
        <x:v>官方索引含AI使用规范及披露表；不是鼓励代写。</x:v>
      </x:c>
      <x:c r="P177" s="9" t="n">
        <x:v>46298</x:v>
      </x:c>
    </x:row>
    <x:row r="178" ht="44" customHeight="1">
      <x:c r="A178" s="3" t="n">
        <x:v>177</x:v>
      </x:c>
      <x:c r="B178" s="3" t="str">
        <x:v>2026075</x:v>
      </x:c>
      <x:c r="C178" s="3" t="str">
        <x:v>全国大学生统计建模大赛（2026）</x:v>
      </x:c>
      <x:c r="D178" s="3" t="str">
        <x:v>An Introduction to R</x:v>
      </x:c>
      <x:c r="E178" s="3" t="str">
        <x:v>工具</x:v>
      </x:c>
      <x:c r="F178" s="3" t="str">
        <x:v>R Core Team</x:v>
      </x:c>
      <x:c r="G178" s="3" t="str">
        <x:v>入门</x:v>
      </x:c>
      <x:c r="H178" s="3" t="str">
        <x:v>统计数据整理、模型拟合与绘图的通用技能</x:v>
      </x:c>
      <x:c r="I178" s="3" t="str">
        <x:v>用可复现代码完成分析并记录处理步骤。</x:v>
      </x:c>
      <x:c r="J178" s="3" t="str">
        <x:v>免费公开</x:v>
      </x:c>
      <x:c r="K178" s="3" t="str">
        <x:v>page_read</x:v>
      </x:c>
      <x:c r="L178" s="3" t="str">
        <x:v>已读来源页面</x:v>
      </x:c>
      <x:c r="M178" s="8" t="e">
        <x:f>HYPERLINK(N178,"打开来源")</x:f>
        <x:v>HYPERLINK is not implemented. linkLocation=https://cran.r-project.org/doc/manuals/r-release/R-intro.html, friendlyName=打开来源</x:v>
      </x:c>
      <x:c r="N178" s="3" t="str">
        <x:v>https://cran.r-project.org/doc/manuals/r-release/R-intro.html</x:v>
      </x:c>
      <x:c r="O178" s="3" t="str">
        <x:v>R官方入门手册，含数据对象、统计模型和图形基础。</x:v>
      </x:c>
      <x:c r="P178" s="9" t="n">
        <x:v>46298</x:v>
      </x:c>
    </x:row>
    <x:row r="179" ht="44" customHeight="1">
      <x:c r="A179" s="3" t="n">
        <x:v>178</x:v>
      </x:c>
      <x:c r="B179" s="3" t="str">
        <x:v>2026076</x:v>
      </x:c>
      <x:c r="C179" s="3" t="str">
        <x:v>美国ASCE大学生土木工程竞赛</x:v>
      </x:c>
      <x:c r="D179" s="3" t="str">
        <x:v>ASCE各赛项规则及培训入口</x:v>
      </x:c>
      <x:c r="E179" s="3" t="str">
        <x:v>规则与模板</x:v>
      </x:c>
      <x:c r="F179" s="3" t="str">
        <x:v>ASCE</x:v>
      </x:c>
      <x:c r="G179" s="3" t="str">
        <x:v>入门</x:v>
      </x:c>
      <x:c r="H179" s="3" t="str">
        <x:v>按具体赛项选用；当前规则已为2027</x:v>
      </x:c>
      <x:c r="I179" s="3" t="str">
        <x:v>分清赛项技术要求、澄清答疑及提交物。</x:v>
      </x:c>
      <x:c r="J179" s="3" t="str">
        <x:v>免费公开</x:v>
      </x:c>
      <x:c r="K179" s="3" t="str">
        <x:v>page_read</x:v>
      </x:c>
      <x:c r="L179" s="3" t="str">
        <x:v>已读来源页面</x:v>
      </x:c>
      <x:c r="M179" s="8" t="e">
        <x:f>HYPERLINK(N179,"打开来源")</x:f>
        <x:v>HYPERLINK is not implemented. linkLocation=https://www.asce.org/communities/student-members/conferences/rules, friendlyName=打开来源</x:v>
      </x:c>
      <x:c r="N179" s="3" t="str">
        <x:v>https://www.asce.org/communities/student-members/conferences/rules</x:v>
      </x:c>
      <x:c r="O179" s="3" t="str">
        <x:v>规则页列出独木舟、可持续、测量等规则，另附提案写作、材料合规和展示培训。</x:v>
      </x:c>
      <x:c r="P179" s="9" t="n">
        <x:v>46298</x:v>
      </x:c>
    </x:row>
    <x:row r="180" ht="64" customHeight="1">
      <x:c r="A180" s="3" t="n">
        <x:v>179</x:v>
      </x:c>
      <x:c r="B180" s="3" t="str">
        <x:v>2026076</x:v>
      </x:c>
      <x:c r="C180" s="3" t="str">
        <x:v>美国ASCE大学生土木工程竞赛</x:v>
      </x:c>
      <x:c r="D180" s="3" t="str">
        <x:v>2027 Sustainable Solutions规则PDF</x:v>
      </x:c>
      <x:c r="E180" s="3" t="str">
        <x:v>赛题</x:v>
      </x:c>
      <x:c r="F180" s="3" t="str">
        <x:v>ASCE</x:v>
      </x:c>
      <x:c r="G180" s="3" t="str">
        <x:v>进阶</x:v>
      </x:c>
      <x:c r="H180" s="3" t="str">
        <x:v>2027可持续方案赛项，非2026共同规则</x:v>
      </x:c>
      <x:c r="I180" s="3" t="str">
        <x:v>学习以工程约束与可持续评价编制项目提案。</x:v>
      </x:c>
      <x:c r="J180" s="3" t="str">
        <x:v>免费公开</x:v>
      </x:c>
      <x:c r="K180" s="3" t="str">
        <x:v>page_read</x:v>
      </x:c>
      <x:c r="L180" s="3" t="str">
        <x:v>已读来源页面</x:v>
      </x:c>
      <x:c r="M180" s="8" t="e">
        <x:f>HYPERLINK(N180,"打开来源")</x:f>
        <x:v>HYPERLINK is not implemented. linkLocation=https://www.asce.org/-/media/asce-images-and-files/communities/students-and-younger-members/documents/2027-asce-sustainable-solutions-competition-rules-v1.pdf, friendlyName=打开来源</x:v>
      </x:c>
      <x:c r="N180" s="3" t="str">
        <x:v>https://www.asce.org/-/media/asce-images-and-files/communities/students-and-younger-members/documents/2027-asce-sustainable-solutions-competition-rules-v1.pdf</x:v>
      </x:c>
      <x:c r="O180" s="3" t="str">
        <x:v>34页官方规则，主题为地面出行项目资助模拟。</x:v>
      </x:c>
      <x:c r="P180" s="9" t="n">
        <x:v>46298</x:v>
      </x:c>
    </x:row>
    <x:row r="181" ht="44" customHeight="1">
      <x:c r="A181" s="3" t="n">
        <x:v>180</x:v>
      </x:c>
      <x:c r="B181" s="3" t="str">
        <x:v>2026076</x:v>
      </x:c>
      <x:c r="C181" s="3" t="str">
        <x:v>美国ASCE大学生土木工程竞赛</x:v>
      </x:c>
      <x:c r="D181" s="3" t="str">
        <x:v>ASCE混凝土独木舟赛项说明</x:v>
      </x:c>
      <x:c r="E181" s="3" t="str">
        <x:v>规则与模板</x:v>
      </x:c>
      <x:c r="F181" s="3" t="str">
        <x:v>ASCE</x:v>
      </x:c>
      <x:c r="G181" s="3" t="str">
        <x:v>入门</x:v>
      </x:c>
      <x:c r="H181" s="3" t="str">
        <x:v>混凝土独木舟子项目</x:v>
      </x:c>
      <x:c r="I181" s="3" t="str">
        <x:v>了解材料设计、制作和项目管理之间的联系。</x:v>
      </x:c>
      <x:c r="J181" s="3" t="str">
        <x:v>免费公开</x:v>
      </x:c>
      <x:c r="K181" s="3" t="str">
        <x:v>page_read</x:v>
      </x:c>
      <x:c r="L181" s="3" t="str">
        <x:v>已读来源页面</x:v>
      </x:c>
      <x:c r="M181" s="8" t="e">
        <x:f>HYPERLINK(N181,"打开来源")</x:f>
        <x:v>HYPERLINK is not implemented. linkLocation=https://www.asce.org/communities/student-members/conferences/asce-concrete-canoe-competition, friendlyName=打开来源</x:v>
      </x:c>
      <x:c r="N181" s="3" t="str">
        <x:v>https://www.asce.org/communities/student-members/conferences/asce-concrete-canoe-competition</x:v>
      </x:c>
      <x:c r="O181" s="3" t="str">
        <x:v>官方介绍与年度规则入口；页面同时保留2026获奖信息。</x:v>
      </x:c>
      <x:c r="P181" s="9" t="n">
        <x:v>46298</x:v>
      </x:c>
    </x:row>
    <x:row r="182" ht="44" customHeight="1">
      <x:c r="A182" s="3" t="n">
        <x:v>181</x:v>
      </x:c>
      <x:c r="B182" s="3" t="str">
        <x:v>2026077</x:v>
      </x:c>
      <x:c r="C182" s="3" t="str">
        <x:v>全国大学生结构设计竞赛</x:v>
      </x:c>
      <x:c r="D182" s="3" t="str">
        <x:v>2026全国结构设计赛题附件入口</x:v>
      </x:c>
      <x:c r="E182" s="3" t="str">
        <x:v>赛题</x:v>
      </x:c>
      <x:c r="F182" s="3" t="str">
        <x:v>辽宁工程技术大学公开全国赛题</x:v>
      </x:c>
      <x:c r="G182" s="3" t="str">
        <x:v>入门</x:v>
      </x:c>
      <x:c r="H182" s="3" t="str">
        <x:v>2026第十九届全国赛题；排除该校报名安排</x:v>
      </x:c>
      <x:c r="I182" s="3" t="str">
        <x:v>从原题确认尺寸、材料与加载约束，再做设计。</x:v>
      </x:c>
      <x:c r="J182" s="3" t="str">
        <x:v>免费公开</x:v>
      </x:c>
      <x:c r="K182" s="3" t="str">
        <x:v>official_index</x:v>
      </x:c>
      <x:c r="L182" s="3" t="str">
        <x:v>已确认索引或入口</x:v>
      </x:c>
      <x:c r="M182" s="8" t="e">
        <x:f>HYPERLINK(N182,"打开来源")</x:f>
        <x:v>HYPERLINK is not implemented. linkLocation=https://cxxy.lntu.edu.cn/info/1134/4785.htm, friendlyName=打开来源</x:v>
      </x:c>
      <x:c r="N182" s="3" t="str">
        <x:v>https://cxxy.lntu.edu.cn/info/1134/4785.htm</x:v>
      </x:c>
      <x:c r="O182" s="3" t="str">
        <x:v>附件标题为《勒勒车模型结构设计与制作》；下载页未直接展开PDF。</x:v>
      </x:c>
      <x:c r="P182" s="9" t="n">
        <x:v>46298</x:v>
      </x:c>
    </x:row>
    <x:row r="183" ht="44" customHeight="1">
      <x:c r="A183" s="3" t="n">
        <x:v>182</x:v>
      </x:c>
      <x:c r="B183" s="3" t="str">
        <x:v>2026077</x:v>
      </x:c>
      <x:c r="C183" s="3" t="str">
        <x:v>全国大学生结构设计竞赛</x:v>
      </x:c>
      <x:c r="D183" s="3" t="str">
        <x:v>结构设计理论方案模板与校赛任务</x:v>
      </x:c>
      <x:c r="E183" s="3" t="str">
        <x:v>规则与模板</x:v>
      </x:c>
      <x:c r="F183" s="3" t="str">
        <x:v>云南大学本科生院</x:v>
      </x:c>
      <x:c r="G183" s="3" t="str">
        <x:v>入门</x:v>
      </x:c>
      <x:c r="H183" s="3" t="str">
        <x:v>2026校赛模板学习，不替代同济或全国提交模板</x:v>
      </x:c>
      <x:c r="I183" s="3" t="str">
        <x:v>参照模板组织结构方案和理论计算说明。</x:v>
      </x:c>
      <x:c r="J183" s="3" t="str">
        <x:v>免费公开</x:v>
      </x:c>
      <x:c r="K183" s="3" t="str">
        <x:v>official_index</x:v>
      </x:c>
      <x:c r="L183" s="3" t="str">
        <x:v>已确认索引或入口</x:v>
      </x:c>
      <x:c r="M183" s="8" t="e">
        <x:f>HYPERLINK(N183,"打开来源")</x:f>
        <x:v>HYPERLINK is not implemented. linkLocation=https://www.jwc.ynu.edu.cn/info/1009/4246.htm, friendlyName=打开来源</x:v>
      </x:c>
      <x:c r="N183" s="3" t="str">
        <x:v>https://www.jwc.ynu.edu.cn/info/1009/4246.htm</x:v>
      </x:c>
      <x:c r="O183" s="3" t="str">
        <x:v>公开附件包括校赛题目、理论方案模板和承诺书。</x:v>
      </x:c>
      <x:c r="P183" s="9" t="n">
        <x:v>46298</x:v>
      </x:c>
    </x:row>
    <x:row r="184" ht="44" customHeight="1">
      <x:c r="A184" s="3" t="n">
        <x:v>183</x:v>
      </x:c>
      <x:c r="B184" s="3" t="str">
        <x:v>2026078</x:v>
      </x:c>
      <x:c r="C184" s="3" t="str">
        <x:v>全国高校BIM毕业设计创新大赛</x:v>
      </x:c>
      <x:c r="D184" s="3" t="str">
        <x:v>第九届学生赛道任务与报告模板入口</x:v>
      </x:c>
      <x:c r="E184" s="3" t="str">
        <x:v>赛题</x:v>
      </x:c>
      <x:c r="F184" s="3" t="str">
        <x:v>广联达／BIM毕业设计大赛组委会</x:v>
      </x:c>
      <x:c r="G184" s="3" t="str">
        <x:v>入门</x:v>
      </x:c>
      <x:c r="H184" s="3" t="str">
        <x:v>2022—2023往届案例训练，非当前届要求</x:v>
      </x:c>
      <x:c r="I184" s="3" t="str">
        <x:v>了解建模、造价、机电、施工和成果表达之间的任务关系。</x:v>
      </x:c>
      <x:c r="J184" s="3" t="str">
        <x:v>免费公开</x:v>
      </x:c>
      <x:c r="K184" s="3" t="str">
        <x:v>page_read</x:v>
      </x:c>
      <x:c r="L184" s="3" t="str">
        <x:v>已读来源页面</x:v>
      </x:c>
      <x:c r="M184" s="8" t="e">
        <x:f>HYPERLINK(N184,"打开来源")</x:f>
        <x:v>HYPERLINK is not implemented. linkLocation=https://gxbsxs-9.glodonedu.com/workcompety, friendlyName=打开来源</x:v>
      </x:c>
      <x:c r="N184" s="3" t="str">
        <x:v>https://gxbsxs-9.glodonedu.com/workcompety</x:v>
      </x:c>
      <x:c r="O184" s="3" t="str">
        <x:v>官方历史页含模块任务、指导书、报告模板和软件下载栏目。</x:v>
      </x:c>
      <x:c r="P184" s="9" t="n">
        <x:v>46298</x:v>
      </x:c>
    </x:row>
    <x:row r="185" ht="44" customHeight="1">
      <x:c r="A185" s="3" t="n">
        <x:v>184</x:v>
      </x:c>
      <x:c r="B185" s="3" t="str">
        <x:v>2026078</x:v>
      </x:c>
      <x:c r="C185" s="3" t="str">
        <x:v>全国高校BIM毕业设计创新大赛</x:v>
      </x:c>
      <x:c r="D185" s="3" t="str">
        <x:v>buildingSMART IFC官方入门说明</x:v>
      </x:c>
      <x:c r="E185" s="3" t="str">
        <x:v>工具</x:v>
      </x:c>
      <x:c r="F185" s="3" t="str">
        <x:v>buildingSMART International</x:v>
      </x:c>
      <x:c r="G185" s="3" t="str">
        <x:v>入门</x:v>
      </x:c>
      <x:c r="H185" s="3" t="str">
        <x:v>BIM模型信息交换与协作通用技能</x:v>
      </x:c>
      <x:c r="I185" s="3" t="str">
        <x:v>理解构件属性、关联和模型交换，避免把BIM只理解为三维外观。</x:v>
      </x:c>
      <x:c r="J185" s="3" t="str">
        <x:v>免费公开</x:v>
      </x:c>
      <x:c r="K185" s="3" t="str">
        <x:v>page_read</x:v>
      </x:c>
      <x:c r="L185" s="3" t="str">
        <x:v>已读来源页面</x:v>
      </x:c>
      <x:c r="M185" s="8" t="e">
        <x:f>HYPERLINK(N185,"打开来源")</x:f>
        <x:v>HYPERLINK is not implemented. linkLocation=https://technical.buildingsmart.org/standards/ifc/, friendlyName=打开来源</x:v>
      </x:c>
      <x:c r="N185" s="3" t="str">
        <x:v>https://technical.buildingsmart.org/standards/ifc/</x:v>
      </x:c>
      <x:c r="O185" s="3" t="str">
        <x:v>介绍IFC数据模型、典型工程交换场景及文件格式。</x:v>
      </x:c>
      <x:c r="P185" s="9" t="n">
        <x:v>46298</x:v>
      </x:c>
    </x:row>
    <x:row r="186" ht="44" customHeight="1">
      <x:c r="A186" s="3" t="n">
        <x:v>185</x:v>
      </x:c>
      <x:c r="B186" s="3" t="str">
        <x:v>2026079</x:v>
      </x:c>
      <x:c r="C186" s="3" t="str">
        <x:v>“外研社·国才杯”“理解当代中国”全国大学生外语能力大赛（德语组）</x:v>
      </x:c>
      <x:c r="D186" s="3" t="str">
        <x:v>2026德语省赛样题入口</x:v>
      </x:c>
      <x:c r="E186" s="3" t="str">
        <x:v>赛题</x:v>
      </x:c>
      <x:c r="F186" s="3" t="str">
        <x:v>外研社</x:v>
      </x:c>
      <x:c r="G186" s="3" t="str">
        <x:v>进阶</x:v>
      </x:c>
      <x:c r="H186" s="3" t="str">
        <x:v>2026德语组省赛</x:v>
      </x:c>
      <x:c r="I186" s="3" t="str">
        <x:v>按本语种样题核对训练内容。</x:v>
      </x:c>
      <x:c r="J186" s="3" t="str">
        <x:v>待确认</x:v>
      </x:c>
      <x:c r="K186" s="3" t="str">
        <x:v>official_index</x:v>
      </x:c>
      <x:c r="L186" s="3" t="str">
        <x:v>已确认索引或入口</x:v>
      </x:c>
      <x:c r="M186" s="8" t="e">
        <x:f>HYPERLINK(N186,"打开来源")</x:f>
        <x:v>HYPERLINK is not implemented. linkLocation=https://ucc.fltrp.com/c/2026-09-04/519783.shtml, friendlyName=打开来源</x:v>
      </x:c>
      <x:c r="N186" s="3" t="str">
        <x:v>https://ucc.fltrp.com/c/2026-09-04/519783.shtml</x:v>
      </x:c>
      <x:c r="O186" s="3" t="str">
        <x:v>已核对官方入口；题目附件需在浏览器进一步打开。</x:v>
      </x:c>
      <x:c r="P186" s="9" t="n">
        <x:v>46298</x:v>
      </x:c>
    </x:row>
    <x:row r="187" ht="44" customHeight="1">
      <x:c r="A187" s="3" t="n">
        <x:v>186</x:v>
      </x:c>
      <x:c r="B187" s="3" t="str">
        <x:v>2026079</x:v>
      </x:c>
      <x:c r="C187" s="3" t="str">
        <x:v>“外研社·国才杯”“理解当代中国”全国大学生外语能力大赛（德语组）</x:v>
      </x:c>
      <x:c r="D187" s="3" t="str">
        <x:v>理解当代中国备赛资源：德语教材入口</x:v>
      </x:c>
      <x:c r="E187" s="3" t="str">
        <x:v>课程与指南</x:v>
      </x:c>
      <x:c r="F187" s="3" t="str">
        <x:v>外研社</x:v>
      </x:c>
      <x:c r="G187" s="3" t="str">
        <x:v>进阶</x:v>
      </x:c>
      <x:c r="H187" s="3" t="str">
        <x:v>德语读写、演讲、汉德翻译</x:v>
      </x:c>
      <x:c r="I187" s="3" t="str">
        <x:v>官方资源页提供德语分类及相应系列教材，便于按赛项选书。</x:v>
      </x:c>
      <x:c r="J187" s="3" t="str">
        <x:v>付费</x:v>
      </x:c>
      <x:c r="K187" s="3" t="str">
        <x:v>page_read</x:v>
      </x:c>
      <x:c r="L187" s="3" t="str">
        <x:v>已读来源页面</x:v>
      </x:c>
      <x:c r="M187" s="8" t="e">
        <x:f>HYPERLINK(N187,"打开来源")</x:f>
        <x:v>HYPERLINK is not implemented. linkLocation=https://heep-jczt.fltrp.com/ucc-resources/, friendlyName=打开来源</x:v>
      </x:c>
      <x:c r="N187" s="3" t="str">
        <x:v>https://heep-jczt.fltrp.com/ucc-resources/</x:v>
      </x:c>
      <x:c r="O187" s="3" t="str">
        <x:v>页面说明多语种教材包括外语读写、演讲及汉外翻译；购买教材收费。</x:v>
      </x:c>
      <x:c r="P187" s="9" t="n">
        <x:v>46298</x:v>
      </x:c>
    </x:row>
    <x:row r="188" ht="44" customHeight="1">
      <x:c r="A188" s="3" t="n">
        <x:v>187</x:v>
      </x:c>
      <x:c r="B188" s="3" t="str">
        <x:v>2026079</x:v>
      </x:c>
      <x:c r="C188" s="3" t="str">
        <x:v>“外研社·国才杯”“理解当代中国”全国大学生外语能力大赛（德语组）</x:v>
      </x:c>
      <x:c r="D188" s="3" t="str">
        <x:v>Goethe-Institut 免费德语练习</x:v>
      </x:c>
      <x:c r="E188" s="3" t="str">
        <x:v>课程与指南</x:v>
      </x:c>
      <x:c r="F188" s="3" t="str">
        <x:v>歌德学院</x:v>
      </x:c>
      <x:c r="G188" s="3" t="str">
        <x:v>通用</x:v>
      </x:c>
      <x:c r="H188" s="3" t="str">
        <x:v>德语语法、词汇、阅读和听力基础</x:v>
      </x:c>
      <x:c r="I188" s="3" t="str">
        <x:v>按水平补齐语言能力，可配合赛事样题练习。</x:v>
      </x:c>
      <x:c r="J188" s="3" t="str">
        <x:v>免费公开</x:v>
      </x:c>
      <x:c r="K188" s="3" t="str">
        <x:v>page_read</x:v>
      </x:c>
      <x:c r="L188" s="3" t="str">
        <x:v>已读来源页面</x:v>
      </x:c>
      <x:c r="M188" s="8" t="e">
        <x:f>HYPERLINK(N188,"打开来源")</x:f>
        <x:v>HYPERLINK is not implemented. linkLocation=https://www.goethe.de/de/spr/ueb.html, friendlyName=打开来源</x:v>
      </x:c>
      <x:c r="N188" s="3" t="str">
        <x:v>https://www.goethe.de/de/spr/ueb.html</x:v>
      </x:c>
      <x:c r="O188" s="3" t="str">
        <x:v>官方免费练习入口覆盖不同水平；属于语言基础资源，不是大赛指定试题。</x:v>
      </x:c>
      <x:c r="P188" s="9" t="n">
        <x:v>46298</x:v>
      </x:c>
    </x:row>
    <x:row r="189" ht="44" customHeight="1">
      <x:c r="A189" s="3" t="n">
        <x:v>188</x:v>
      </x:c>
      <x:c r="B189" s="3" t="str">
        <x:v>2026080</x:v>
      </x:c>
      <x:c r="C189" s="3" t="str">
        <x:v>“外研社·国才杯”“理解当代中国”全国大学生外语能力大赛（日语组）</x:v>
      </x:c>
      <x:c r="D189" s="3" t="str">
        <x:v>2026日语省赛样题入口</x:v>
      </x:c>
      <x:c r="E189" s="3" t="str">
        <x:v>赛题</x:v>
      </x:c>
      <x:c r="F189" s="3" t="str">
        <x:v>外研社</x:v>
      </x:c>
      <x:c r="G189" s="3" t="str">
        <x:v>进阶</x:v>
      </x:c>
      <x:c r="H189" s="3" t="str">
        <x:v>2026日语组省赛</x:v>
      </x:c>
      <x:c r="I189" s="3" t="str">
        <x:v>直接对照日语赛题准备，避免套用英语题型。</x:v>
      </x:c>
      <x:c r="J189" s="3" t="str">
        <x:v>待确认</x:v>
      </x:c>
      <x:c r="K189" s="3" t="str">
        <x:v>official_index</x:v>
      </x:c>
      <x:c r="L189" s="3" t="str">
        <x:v>已确认索引或入口</x:v>
      </x:c>
      <x:c r="M189" s="8" t="e">
        <x:f>HYPERLINK(N189,"打开来源")</x:f>
        <x:v>HYPERLINK is not implemented. linkLocation=https://ucc.fltrp.com/c/2026-09-04/519795.shtml, friendlyName=打开来源</x:v>
      </x:c>
      <x:c r="N189" s="3" t="str">
        <x:v>https://ucc.fltrp.com/c/2026-09-04/519795.shtml</x:v>
      </x:c>
      <x:c r="O189" s="3" t="str">
        <x:v>已确认入口，题目内容仍需浏览器核对。</x:v>
      </x:c>
      <x:c r="P189" s="9" t="n">
        <x:v>46298</x:v>
      </x:c>
    </x:row>
    <x:row r="190" ht="44" customHeight="1">
      <x:c r="A190" s="3" t="n">
        <x:v>189</x:v>
      </x:c>
      <x:c r="B190" s="3" t="str">
        <x:v>2026080</x:v>
      </x:c>
      <x:c r="C190" s="3" t="str">
        <x:v>“外研社·国才杯”“理解当代中国”全国大学生外语能力大赛（日语组）</x:v>
      </x:c>
      <x:c r="D190" s="3" t="str">
        <x:v>理解当代中国备赛资源：日语教材入口</x:v>
      </x:c>
      <x:c r="E190" s="3" t="str">
        <x:v>课程与指南</x:v>
      </x:c>
      <x:c r="F190" s="3" t="str">
        <x:v>外研社</x:v>
      </x:c>
      <x:c r="G190" s="3" t="str">
        <x:v>进阶</x:v>
      </x:c>
      <x:c r="H190" s="3" t="str">
        <x:v>日语读写、演讲和汉日翻译</x:v>
      </x:c>
      <x:c r="I190" s="3" t="str">
        <x:v>按日语分类选取对应系列教材。</x:v>
      </x:c>
      <x:c r="J190" s="3" t="str">
        <x:v>付费</x:v>
      </x:c>
      <x:c r="K190" s="3" t="str">
        <x:v>page_read</x:v>
      </x:c>
      <x:c r="L190" s="3" t="str">
        <x:v>已读来源页面</x:v>
      </x:c>
      <x:c r="M190" s="8" t="e">
        <x:f>HYPERLINK(N190,"打开来源")</x:f>
        <x:v>HYPERLINK is not implemented. linkLocation=https://heep-jczt.fltrp.com/ucc-resources/, friendlyName=打开来源</x:v>
      </x:c>
      <x:c r="N190" s="3" t="str">
        <x:v>https://heep-jczt.fltrp.com/ucc-resources/</x:v>
      </x:c>
      <x:c r="O190" s="3" t="str">
        <x:v>资源页明确包含日语系列，教材为付费出版物。</x:v>
      </x:c>
      <x:c r="P190" s="9" t="n">
        <x:v>46298</x:v>
      </x:c>
    </x:row>
    <x:row r="191" ht="44" customHeight="1">
      <x:c r="A191" s="3" t="n">
        <x:v>190</x:v>
      </x:c>
      <x:c r="B191" s="3" t="str">
        <x:v>2026080</x:v>
      </x:c>
      <x:c r="C191" s="3" t="str">
        <x:v>“外研社·国才杯”“理解当代中国”全国大学生外语能力大赛（日语组）</x:v>
      </x:c>
      <x:c r="D191" s="3" t="str">
        <x:v>いろどり 生活の日本語</x:v>
      </x:c>
      <x:c r="E191" s="3" t="str">
        <x:v>课程与指南</x:v>
      </x:c>
      <x:c r="F191" s="3" t="str">
        <x:v>日本国际交流基金</x:v>
      </x:c>
      <x:c r="G191" s="3" t="str">
        <x:v>入门</x:v>
      </x:c>
      <x:c r="H191" s="3" t="str">
        <x:v>日语基础薄弱者的听说、词汇和语法补习</x:v>
      </x:c>
      <x:c r="I191" s="3" t="str">
        <x:v>提供教材、音频和配套练习，可用于基础训练。</x:v>
      </x:c>
      <x:c r="J191" s="3" t="str">
        <x:v>免费公开</x:v>
      </x:c>
      <x:c r="K191" s="3" t="str">
        <x:v>page_read</x:v>
      </x:c>
      <x:c r="L191" s="3" t="str">
        <x:v>已读来源页面</x:v>
      </x:c>
      <x:c r="M191" s="8" t="e">
        <x:f>HYPERLINK(N191,"打开来源")</x:f>
        <x:v>HYPERLINK is not implemented. linkLocation=https://www.irodori.jpf.go.jp/, friendlyName=打开来源</x:v>
      </x:c>
      <x:c r="N191" s="3" t="str">
        <x:v>https://www.irodori.jpf.go.jp/</x:v>
      </x:c>
      <x:c r="O191" s="3" t="str">
        <x:v>覆盖入门、初级和初中级生活日语；不能替代大赛专题与高级翻译训练。</x:v>
      </x:c>
      <x:c r="P191" s="9" t="n">
        <x:v>46298</x:v>
      </x:c>
    </x:row>
    <x:row r="192" ht="44" customHeight="1">
      <x:c r="A192" s="3" t="n">
        <x:v>191</x:v>
      </x:c>
      <x:c r="B192" s="3" t="str">
        <x:v>2026081</x:v>
      </x:c>
      <x:c r="C192" s="3" t="str">
        <x:v>“外研社·国才杯”“理解当代中国”全国大学生外语能力大赛（英语组）</x:v>
      </x:c>
      <x:c r="D192" s="3" t="str">
        <x:v>2026国际传播综合能力样题及评分标准</x:v>
      </x:c>
      <x:c r="E192" s="3" t="str">
        <x:v>赛题</x:v>
      </x:c>
      <x:c r="F192" s="3" t="str">
        <x:v>外研社</x:v>
      </x:c>
      <x:c r="G192" s="3" t="str">
        <x:v>进阶</x:v>
      </x:c>
      <x:c r="H192" s="3" t="str">
        <x:v>英语组国际传播综合能力赛项</x:v>
      </x:c>
      <x:c r="I192" s="3" t="str">
        <x:v>按样题和评分标准制定读写译训练。</x:v>
      </x:c>
      <x:c r="J192" s="3" t="str">
        <x:v>免费公开</x:v>
      </x:c>
      <x:c r="K192" s="3" t="str">
        <x:v>page_read</x:v>
      </x:c>
      <x:c r="L192" s="3" t="str">
        <x:v>已读来源页面</x:v>
      </x:c>
      <x:c r="M192" s="8" t="e">
        <x:f>HYPERLINK(N192,"打开来源")</x:f>
        <x:v>HYPERLINK is not implemented. linkLocation=https://ucc.fltrp.com/c/2026-03-27/541272.shtml, friendlyName=打开来源</x:v>
      </x:c>
      <x:c r="N192" s="3" t="str">
        <x:v>https://ucc.fltrp.com/c/2026-03-27/541272.shtml</x:v>
      </x:c>
      <x:c r="O192" s="3" t="str">
        <x:v>官方完整样题页面；包括不同阶段的考查说明。</x:v>
      </x:c>
      <x:c r="P192" s="9" t="n">
        <x:v>46298</x:v>
      </x:c>
    </x:row>
    <x:row r="193" ht="44" customHeight="1">
      <x:c r="A193" s="3" t="n">
        <x:v>192</x:v>
      </x:c>
      <x:c r="B193" s="3" t="str">
        <x:v>2026081</x:v>
      </x:c>
      <x:c r="C193" s="3" t="str">
        <x:v>“外研社·国才杯”“理解当代中国”全国大学生外语能力大赛（英语组）</x:v>
      </x:c>
      <x:c r="D193" s="3" t="str">
        <x:v>2026笔译样题及评分标准</x:v>
      </x:c>
      <x:c r="E193" s="3" t="str">
        <x:v>赛题</x:v>
      </x:c>
      <x:c r="F193" s="3" t="str">
        <x:v>外研社</x:v>
      </x:c>
      <x:c r="G193" s="3" t="str">
        <x:v>进阶</x:v>
      </x:c>
      <x:c r="H193" s="3" t="str">
        <x:v>英语组笔译赛项</x:v>
      </x:c>
      <x:c r="I193" s="3" t="str">
        <x:v>了解英汉互译、译后编辑和编译等阶段性任务。</x:v>
      </x:c>
      <x:c r="J193" s="3" t="str">
        <x:v>免费公开</x:v>
      </x:c>
      <x:c r="K193" s="3" t="str">
        <x:v>page_read</x:v>
      </x:c>
      <x:c r="L193" s="3" t="str">
        <x:v>已读来源页面</x:v>
      </x:c>
      <x:c r="M193" s="8" t="e">
        <x:f>HYPERLINK(N193,"打开来源")</x:f>
        <x:v>HYPERLINK is not implemented. linkLocation=https://ucc.fltrp.com/c/2026-03-27/541273.shtml, friendlyName=打开来源</x:v>
      </x:c>
      <x:c r="N193" s="3" t="str">
        <x:v>https://ucc.fltrp.com/c/2026-03-27/541273.shtml</x:v>
      </x:c>
      <x:c r="O193" s="3" t="str">
        <x:v>官方样题和评分标准，赛段要求分别列出。</x:v>
      </x:c>
      <x:c r="P193" s="9" t="n">
        <x:v>46298</x:v>
      </x:c>
    </x:row>
    <x:row r="194" ht="44" customHeight="1">
      <x:c r="A194" s="3" t="n">
        <x:v>193</x:v>
      </x:c>
      <x:c r="B194" s="3" t="str">
        <x:v>2026081</x:v>
      </x:c>
      <x:c r="C194" s="3" t="str">
        <x:v>“外研社·国才杯”“理解当代中国”全国大学生外语能力大赛（英语组）</x:v>
      </x:c>
      <x:c r="D194" s="3" t="str">
        <x:v>理解当代中国官方备赛资源</x:v>
      </x:c>
      <x:c r="E194" s="3" t="str">
        <x:v>课程与指南</x:v>
      </x:c>
      <x:c r="F194" s="3" t="str">
        <x:v>外研社</x:v>
      </x:c>
      <x:c r="G194" s="3" t="str">
        <x:v>通用</x:v>
      </x:c>
      <x:c r="H194" s="3" t="str">
        <x:v>英语读写译与中国主题表达</x:v>
      </x:c>
      <x:c r="I194" s="3" t="str">
        <x:v>集中查看教材和核心术语手册，按赛项选用。</x:v>
      </x:c>
      <x:c r="J194" s="3" t="str">
        <x:v>付费</x:v>
      </x:c>
      <x:c r="K194" s="3" t="str">
        <x:v>page_read</x:v>
      </x:c>
      <x:c r="L194" s="3" t="str">
        <x:v>已读来源页面</x:v>
      </x:c>
      <x:c r="M194" s="8" t="e">
        <x:f>HYPERLINK(N194,"打开来源")</x:f>
        <x:v>HYPERLINK is not implemented. linkLocation=https://heep-jczt.fltrp.com/ucc-resources/, friendlyName=打开来源</x:v>
      </x:c>
      <x:c r="N194" s="3" t="str">
        <x:v>https://heep-jczt.fltrp.com/ucc-resources/</x:v>
      </x:c>
      <x:c r="O194" s="3" t="str">
        <x:v>页面可免费浏览；其中教材及术语手册购买收费。</x:v>
      </x:c>
      <x:c r="P194" s="9" t="n">
        <x:v>46298</x:v>
      </x:c>
    </x:row>
    <x:row r="195" ht="44" customHeight="1">
      <x:c r="A195" s="3" t="n">
        <x:v>194</x:v>
      </x:c>
      <x:c r="B195" s="3" t="str">
        <x:v>2026082</x:v>
      </x:c>
      <x:c r="C195" s="3" t="str">
        <x:v>第31届“21世纪杯”全国英语演讲比赛</x:v>
      </x:c>
      <x:c r="D195" s="3" t="str">
        <x:v>2026比赛章程与评分标准</x:v>
      </x:c>
      <x:c r="E195" s="3" t="str">
        <x:v>规则与模板</x:v>
      </x:c>
      <x:c r="F195" s="3" t="str">
        <x:v>21世纪报社</x:v>
      </x:c>
      <x:c r="G195" s="3" t="str">
        <x:v>通用</x:v>
      </x:c>
      <x:c r="H195" s="3" t="str">
        <x:v>第31届英语演讲比赛</x:v>
      </x:c>
      <x:c r="I195" s="3" t="str">
        <x:v>按内容、语言表达和综合表现检查演讲准备。</x:v>
      </x:c>
      <x:c r="J195" s="3" t="str">
        <x:v>免费公开</x:v>
      </x:c>
      <x:c r="K195" s="3" t="str">
        <x:v>page_read</x:v>
      </x:c>
      <x:c r="L195" s="3" t="str">
        <x:v>已读来源页面</x:v>
      </x:c>
      <x:c r="M195" s="8" t="e">
        <x:f>HYPERLINK(N195,"打开来源")</x:f>
        <x:v>HYPERLINK is not implemented. linkLocation=https://contest.i21st.cn/college/article/6990.html, friendlyName=打开来源</x:v>
      </x:c>
      <x:c r="N195" s="3" t="str">
        <x:v>https://contest.i21st.cn/college/article/6990.html</x:v>
      </x:c>
      <x:c r="O195" s="3" t="str">
        <x:v>章程可公开阅读；后续赛程以最新通知为准。</x:v>
      </x:c>
      <x:c r="P195" s="9" t="n">
        <x:v>46298</x:v>
      </x:c>
    </x:row>
    <x:row r="196" ht="50" customHeight="1">
      <x:c r="A196" s="3" t="n">
        <x:v>195</x:v>
      </x:c>
      <x:c r="B196" s="3" t="str">
        <x:v>2026082</x:v>
      </x:c>
      <x:c r="C196" s="3" t="str">
        <x:v>第31届“21世纪杯”全国英语演讲比赛</x:v>
      </x:c>
      <x:c r="D196" s="3" t="str">
        <x:v>Speech Making &amp; Public Speaking: Writing and Delivering a Speech</x:v>
      </x:c>
      <x:c r="E196" s="3" t="str">
        <x:v>课程与指南</x:v>
      </x:c>
      <x:c r="F196" s="3" t="str">
        <x:v>English-Speaking Union</x:v>
      </x:c>
      <x:c r="G196" s="3" t="str">
        <x:v>入门</x:v>
      </x:c>
      <x:c r="H196" s="3" t="str">
        <x:v>英语演讲结构、论据与现场表达基础</x:v>
      </x:c>
      <x:c r="I196" s="3" t="str">
        <x:v>提供组织演讲和清楚表达观点的练习方法。</x:v>
      </x:c>
      <x:c r="J196" s="3" t="str">
        <x:v>待确认</x:v>
      </x:c>
      <x:c r="K196" s="3" t="str">
        <x:v>search_result</x:v>
      </x:c>
      <x:c r="L196" s="3" t="str">
        <x:v>仅搜索结果，待核对</x:v>
      </x:c>
      <x:c r="M196" s="8" t="e">
        <x:f>HYPERLINK(N196,"打开来源")</x:f>
        <x:v>HYPERLINK is not implemented. linkLocation=https://www.esu.org/wp-content/uploads/2020/05/6.-Speech-Making-and-Public-Speaking-Guidance-Writing-and-Delivering-Secondary.pdf, friendlyName=打开来源</x:v>
      </x:c>
      <x:c r="N196" s="3" t="str">
        <x:v>https://www.esu.org/wp-content/uploads/2020/05/6.-Speech-Making-and-Public-Speaking-Guidance-Writing-and-Delivering-Secondary.pdf</x:v>
      </x:c>
      <x:c r="O196" s="3" t="str">
        <x:v>ESU公开教学手册，主要面向中学生但基础方法适用；不是本赛事赛制。直接打开触发网站验证。</x:v>
      </x:c>
      <x:c r="P196" s="9" t="n">
        <x:v>46298</x:v>
      </x:c>
    </x:row>
    <x:row r="197" ht="44" customHeight="1">
      <x:c r="A197" s="3" t="n">
        <x:v>196</x:v>
      </x:c>
      <x:c r="B197" s="3" t="str">
        <x:v>2026083</x:v>
      </x:c>
      <x:c r="C197" s="3" t="str">
        <x:v>第九届“外教社杯”全国高校学生跨文化能力大赛</x:v>
      </x:c>
      <x:c r="D197" s="3" t="str">
        <x:v>第九届大赛章程</x:v>
      </x:c>
      <x:c r="E197" s="3" t="str">
        <x:v>规则与模板</x:v>
      </x:c>
      <x:c r="F197" s="3" t="str">
        <x:v>外教社跨文化能力测试中心</x:v>
      </x:c>
      <x:c r="G197" s="3" t="str">
        <x:v>通用</x:v>
      </x:c>
      <x:c r="H197" s="3" t="str">
        <x:v>第九届跨文化能力大赛</x:v>
      </x:c>
      <x:c r="I197" s="3" t="str">
        <x:v>准备前先核对组别、任务和评价要求。</x:v>
      </x:c>
      <x:c r="J197" s="3" t="str">
        <x:v>免费公开</x:v>
      </x:c>
      <x:c r="K197" s="3" t="str">
        <x:v>page_read</x:v>
      </x:c>
      <x:c r="L197" s="3" t="str">
        <x:v>已读来源页面</x:v>
      </x:c>
      <x:c r="M197" s="8" t="e">
        <x:f>HYPERLINK(N197,"打开来源")</x:f>
        <x:v>HYPERLINK is not implemented. linkLocation=https://ictvd.oss-cn-beijing.aliyuncs.com/uploadfile/2026/0401/20260401041236519.pdf, friendlyName=打开来源</x:v>
      </x:c>
      <x:c r="N197" s="3" t="str">
        <x:v>https://ictvd.oss-cn-beijing.aliyuncs.com/uploadfile/2026/0401/20260401041236519.pdf</x:v>
      </x:c>
      <x:c r="O197" s="3" t="str">
        <x:v>官方39页PDF。</x:v>
      </x:c>
      <x:c r="P197" s="9" t="n">
        <x:v>46298</x:v>
      </x:c>
    </x:row>
    <x:row r="198" ht="44" customHeight="1">
      <x:c r="A198" s="3" t="n">
        <x:v>197</x:v>
      </x:c>
      <x:c r="B198" s="3" t="str">
        <x:v>2026083</x:v>
      </x:c>
      <x:c r="C198" s="3" t="str">
        <x:v>第九届“外教社杯”全国高校学生跨文化能力大赛</x:v>
      </x:c>
      <x:c r="D198" s="3" t="str">
        <x:v>往届全国决赛及总决赛回顾</x:v>
      </x:c>
      <x:c r="E198" s="3" t="str">
        <x:v>作品案例</x:v>
      </x:c>
      <x:c r="F198" s="3" t="str">
        <x:v>外教社跨文化能力测试中心</x:v>
      </x:c>
      <x:c r="G198" s="3" t="str">
        <x:v>进阶</x:v>
      </x:c>
      <x:c r="H198" s="3" t="str">
        <x:v>展示表达与案例分析学习</x:v>
      </x:c>
      <x:c r="I198" s="3" t="str">
        <x:v>可按届次查看赛事展示方式。</x:v>
      </x:c>
      <x:c r="J198" s="3" t="str">
        <x:v>待确认</x:v>
      </x:c>
      <x:c r="K198" s="3" t="str">
        <x:v>official_index</x:v>
      </x:c>
      <x:c r="L198" s="3" t="str">
        <x:v>已确认索引或入口</x:v>
      </x:c>
      <x:c r="M198" s="8" t="e">
        <x:f>HYPERLINK(N198,"打开来源")</x:f>
        <x:v>HYPERLINK is not implemented. linkLocation=https://ict.sflep.com/index.php?a=lists&amp;c=index&amp;catid=140&amp;m=content, friendlyName=打开来源</x:v>
      </x:c>
      <x:c r="N198" s="3" t="str">
        <x:v>https://ict.sflep.com/index.php?a=lists&amp;c=index&amp;catid=140&amp;m=content</x:v>
      </x:c>
      <x:c r="O198" s="3" t="str">
        <x:v>页面列第三至第六届回顾入口；本次未逐一播放视频。</x:v>
      </x:c>
      <x:c r="P198" s="9" t="n">
        <x:v>46298</x:v>
      </x:c>
    </x:row>
    <x:row r="199" ht="44" customHeight="1">
      <x:c r="A199" s="3" t="n">
        <x:v>198</x:v>
      </x:c>
      <x:c r="B199" s="3" t="str">
        <x:v>2026083</x:v>
      </x:c>
      <x:c r="C199" s="3" t="str">
        <x:v>第九届“外教社杯”全国高校学生跨文化能力大赛</x:v>
      </x:c>
      <x:c r="D199" s="3" t="str">
        <x:v>跨文化外语教育研修资料免费下载</x:v>
      </x:c>
      <x:c r="E199" s="3" t="str">
        <x:v>课程与指南</x:v>
      </x:c>
      <x:c r="F199" s="3" t="str">
        <x:v>外教社跨文化能力测试中心</x:v>
      </x:c>
      <x:c r="G199" s="3" t="str">
        <x:v>进阶</x:v>
      </x:c>
      <x:c r="H199" s="3" t="str">
        <x:v>跨文化分析框架与案例讨论</x:v>
      </x:c>
      <x:c r="I199" s="3" t="str">
        <x:v>提供理论与实践、课程设计和案例展示课件入口。</x:v>
      </x:c>
      <x:c r="J199" s="3" t="str">
        <x:v>免费公开</x:v>
      </x:c>
      <x:c r="K199" s="3" t="str">
        <x:v>official_index</x:v>
      </x:c>
      <x:c r="L199" s="3" t="str">
        <x:v>已确认索引或入口</x:v>
      </x:c>
      <x:c r="M199" s="8" t="e">
        <x:f>HYPERLINK(N199,"打开来源")</x:f>
        <x:v>HYPERLINK is not implemented. linkLocation=https://ict.sflep.com/index.php?a=lists&amp;c=index&amp;catid=29&amp;m=content, friendlyName=打开来源</x:v>
      </x:c>
      <x:c r="N199" s="3" t="str">
        <x:v>https://ict.sflep.com/index.php?a=lists&amp;c=index&amp;catid=29&amp;m=content</x:v>
      </x:c>
      <x:c r="O199" s="3" t="str">
        <x:v>含2023、2024年研修PPT，主要为教学研修，可辅助备赛；非本届命题范围。</x:v>
      </x:c>
      <x:c r="P199" s="9" t="n">
        <x:v>46298</x:v>
      </x:c>
    </x:row>
    <x:row r="200" ht="44" customHeight="1">
      <x:c r="A200" s="3" t="n">
        <x:v>199</x:v>
      </x:c>
      <x:c r="B200" s="3" t="str">
        <x:v>2026084</x:v>
      </x:c>
      <x:c r="C200" s="3" t="str">
        <x:v>全国大学生英语竞赛</x:v>
      </x:c>
      <x:c r="D200" s="3" t="str">
        <x:v>2026类别与题型调整说明</x:v>
      </x:c>
      <x:c r="E200" s="3" t="str">
        <x:v>规则与模板</x:v>
      </x:c>
      <x:c r="F200" s="3" t="str">
        <x:v>浙江师范大学外国语学院</x:v>
      </x:c>
      <x:c r="G200" s="3" t="str">
        <x:v>通用</x:v>
      </x:c>
      <x:c r="H200" s="3" t="str">
        <x:v>2026全国大学生英语竞赛基础备赛</x:v>
      </x:c>
      <x:c r="I200" s="3" t="str">
        <x:v>先选正确类别，再根据当年调整核对旧题训练。</x:v>
      </x:c>
      <x:c r="J200" s="3" t="str">
        <x:v>免费公开</x:v>
      </x:c>
      <x:c r="K200" s="3" t="str">
        <x:v>page_read</x:v>
      </x:c>
      <x:c r="L200" s="3" t="str">
        <x:v>已读来源页面</x:v>
      </x:c>
      <x:c r="M200" s="8" t="e">
        <x:f>HYPERLINK(N200,"打开来源")</x:f>
        <x:v>HYPERLINK is not implemented. linkLocation=https://flc.zjnu.edu.cn/2025/1222/c19548a541375/page.htm, friendlyName=打开来源</x:v>
      </x:c>
      <x:c r="N200" s="3" t="str">
        <x:v>https://flc.zjnu.edu.cn/2025/1222/c19548a541375/page.htm</x:v>
      </x:c>
      <x:c r="O200" s="3" t="str">
        <x:v>高校官方通知提醒听力、翻译分值调整及取消智力测试；最终以组委会当年样题为准。</x:v>
      </x:c>
      <x:c r="P200" s="9" t="n">
        <x:v>46298</x:v>
      </x:c>
    </x:row>
    <x:row r="201" ht="44" customHeight="1">
      <x:c r="A201" s="3" t="n">
        <x:v>200</x:v>
      </x:c>
      <x:c r="B201" s="3" t="str">
        <x:v>2026084</x:v>
      </x:c>
      <x:c r="C201" s="3" t="str">
        <x:v>全国大学生英语竞赛</x:v>
      </x:c>
      <x:c r="D201" s="3" t="str">
        <x:v>2022年C类官方样题（历史）</x:v>
      </x:c>
      <x:c r="E201" s="3" t="str">
        <x:v>赛题</x:v>
      </x:c>
      <x:c r="F201" s="3" t="str">
        <x:v>全国大学生英语竞赛组委会</x:v>
      </x:c>
      <x:c r="G201" s="3" t="str">
        <x:v>进阶</x:v>
      </x:c>
      <x:c r="H201" s="3" t="str">
        <x:v>非英语专业本科生基础题型训练</x:v>
      </x:c>
      <x:c r="I201" s="3" t="str">
        <x:v>可练阅读与翻译等技能，不照搬旧题分值与模块。</x:v>
      </x:c>
      <x:c r="J201" s="3" t="str">
        <x:v>待确认</x:v>
      </x:c>
      <x:c r="K201" s="3" t="str">
        <x:v>search_result</x:v>
      </x:c>
      <x:c r="L201" s="3" t="str">
        <x:v>仅搜索结果，待核对</x:v>
      </x:c>
      <x:c r="M201" s="8" t="e">
        <x:f>HYPERLINK(N201,"打开来源")</x:f>
        <x:v>HYPERLINK is not implemented. linkLocation=https://filesnew.chinaneccs.cn/uploads/files/a50b558b755f0ca79b99f4454c9625f1.pdf, friendlyName=打开来源</x:v>
      </x:c>
      <x:c r="N201" s="3" t="str">
        <x:v>https://filesnew.chinaneccs.cn/uploads/files/a50b558b755f0ca79b99f4454c9625f1.pdf</x:v>
      </x:c>
      <x:c r="O201" s="3" t="str">
        <x:v>官网文件域名的2022样题搜索索引可见；PDF直接访问未成功，非2026试卷。</x:v>
      </x:c>
      <x:c r="P201" s="9" t="n">
        <x:v>46298</x:v>
      </x:c>
    </x:row>
    <x:row r="202" ht="50" customHeight="1">
      <x:c r="A202" s="3" t="n">
        <x:v>201</x:v>
      </x:c>
      <x:c r="B202" s="3" t="str">
        <x:v>2026085</x:v>
      </x:c>
      <x:c r="C202" s="3" t="str">
        <x:v>全国大学生光电设计竞赛</x:v>
      </x:c>
      <x:c r="D202" s="3" t="str">
        <x:v>第十四届全国光电竞赛总通知</x:v>
      </x:c>
      <x:c r="E202" s="3" t="str">
        <x:v>规则与模板</x:v>
      </x:c>
      <x:c r="F202" s="3" t="str">
        <x:v>竞赛委员会／南京信息工程大学</x:v>
      </x:c>
      <x:c r="G202" s="3" t="str">
        <x:v>入门</x:v>
      </x:c>
      <x:c r="H202" s="3" t="str">
        <x:v>2026赛道选择</x:v>
      </x:c>
      <x:c r="I202" s="3" t="str">
        <x:v>先区分开放创意项目与光学系统设计任务。</x:v>
      </x:c>
      <x:c r="J202" s="3" t="str">
        <x:v>免费公开</x:v>
      </x:c>
      <x:c r="K202" s="3" t="str">
        <x:v>page_read</x:v>
      </x:c>
      <x:c r="L202" s="3" t="str">
        <x:v>已读来源页面</x:v>
      </x:c>
      <x:c r="M202" s="8" t="e">
        <x:f>HYPERLINK(N202,"打开来源")</x:f>
        <x:v>HYPERLINK is not implemented. linkLocation=https://wdy.nuist.edu.cn/_upload/article/files/e8/cb/f2ed60c748e28c0254c5523a259e/1033eff1-a5c0-49c4-badb-991b00bf2633.pdf, friendlyName=打开来源</x:v>
      </x:c>
      <x:c r="N202" s="3" t="str">
        <x:v>https://wdy.nuist.edu.cn/_upload/article/files/e8/cb/f2ed60c748e28c0254c5523a259e/1033eff1-a5c0-49c4-badb-991b00bf2633.pdf</x:v>
      </x:c>
      <x:c r="O202" s="3" t="str">
        <x:v>总通知说明两个赛道不同的选拔方式，不宜混用。</x:v>
      </x:c>
      <x:c r="P202" s="9" t="n">
        <x:v>46298</x:v>
      </x:c>
    </x:row>
    <x:row r="203" ht="50" customHeight="1">
      <x:c r="A203" s="3" t="n">
        <x:v>202</x:v>
      </x:c>
      <x:c r="B203" s="3" t="str">
        <x:v>2026085</x:v>
      </x:c>
      <x:c r="C203" s="3" t="str">
        <x:v>全国大学生光电设计竞赛</x:v>
      </x:c>
      <x:c r="D203" s="3" t="str">
        <x:v>2026光学设计赛题与提交要求</x:v>
      </x:c>
      <x:c r="E203" s="3" t="str">
        <x:v>赛题</x:v>
      </x:c>
      <x:c r="F203" s="3" t="str">
        <x:v>光学设计赛道分委员会／南京信息工程大学</x:v>
      </x:c>
      <x:c r="G203" s="3" t="str">
        <x:v>进阶</x:v>
      </x:c>
      <x:c r="H203" s="3" t="str">
        <x:v>2026光学设计赛道</x:v>
      </x:c>
      <x:c r="I203" s="3" t="str">
        <x:v>依据给定目标和设计要求练习镜头系统设计及报告表达。</x:v>
      </x:c>
      <x:c r="J203" s="3" t="str">
        <x:v>免费公开</x:v>
      </x:c>
      <x:c r="K203" s="3" t="str">
        <x:v>page_read</x:v>
      </x:c>
      <x:c r="L203" s="3" t="str">
        <x:v>已读来源页面</x:v>
      </x:c>
      <x:c r="M203" s="8" t="e">
        <x:f>HYPERLINK(N203,"打开来源")</x:f>
        <x:v>HYPERLINK is not implemented. linkLocation=https://wdy.nuist.edu.cn/_upload/article/files/e8/cb/f2ed60c748e28c0254c5523a259e/a507a594-be6c-49c3-8c08-6c356e178e6e.pdf, friendlyName=打开来源</x:v>
      </x:c>
      <x:c r="N203" s="3" t="str">
        <x:v>https://wdy.nuist.edu.cn/_upload/article/files/e8/cb/f2ed60c748e28c0254c5523a259e/a507a594-be6c-49c3-8c08-6c356e178e6e.pdf</x:v>
      </x:c>
      <x:c r="O203" s="3" t="str">
        <x:v>包括微光夜视观察物镜、AR眼镜拍摄镜头两道赛题。</x:v>
      </x:c>
      <x:c r="P203" s="9" t="n">
        <x:v>46298</x:v>
      </x:c>
    </x:row>
    <x:row r="204" ht="44" customHeight="1">
      <x:c r="A204" s="3" t="n">
        <x:v>203</x:v>
      </x:c>
      <x:c r="B204" s="3" t="str">
        <x:v>2026086</x:v>
      </x:c>
      <x:c r="C204" s="3" t="str">
        <x:v>全国大学生物理实验竞赛（创新）（2026）</x:v>
      </x:c>
      <x:c r="D204" s="3" t="str">
        <x:v>2026第一轮通知</x:v>
      </x:c>
      <x:c r="E204" s="3" t="str">
        <x:v>规则与模板</x:v>
      </x:c>
      <x:c r="F204" s="3" t="str">
        <x:v>竞赛组委会／北京科技大学</x:v>
      </x:c>
      <x:c r="G204" s="3" t="str">
        <x:v>通用</x:v>
      </x:c>
      <x:c r="H204" s="3" t="str">
        <x:v>2026物理实验竞赛各类别</x:v>
      </x:c>
      <x:c r="I204" s="3" t="str">
        <x:v>在选题前确认类别与提交要求。</x:v>
      </x:c>
      <x:c r="J204" s="3" t="str">
        <x:v>免费公开</x:v>
      </x:c>
      <x:c r="K204" s="3" t="str">
        <x:v>page_read</x:v>
      </x:c>
      <x:c r="L204" s="3" t="str">
        <x:v>已读来源页面</x:v>
      </x:c>
      <x:c r="M204" s="8" t="e">
        <x:f>HYPERLINK(N204,"打开来源")</x:f>
        <x:v>HYPERLINK is not implemented. linkLocation=https://jwc.ustb.edu.cn/docs/2026-03/ce7f8929264847f5b89a67e54d9117c5.pdf, friendlyName=打开来源</x:v>
      </x:c>
      <x:c r="N204" s="3" t="str">
        <x:v>https://jwc.ustb.edu.cn/docs/2026-03/ce7f8929264847f5b89a67e54d9117c5.pdf</x:v>
      </x:c>
      <x:c r="O204" s="3" t="str">
        <x:v>全国通知；不把他校校赛截止日期套用于同济。</x:v>
      </x:c>
      <x:c r="P204" s="9" t="n">
        <x:v>46298</x:v>
      </x:c>
    </x:row>
    <x:row r="205" ht="44" customHeight="1">
      <x:c r="A205" s="3" t="n">
        <x:v>204</x:v>
      </x:c>
      <x:c r="B205" s="3" t="str">
        <x:v>2026086</x:v>
      </x:c>
      <x:c r="C205" s="3" t="str">
        <x:v>全国大学生物理实验竞赛（创新）（2026）</x:v>
      </x:c>
      <x:c r="D205" s="3" t="str">
        <x:v>2026命题、自选题及评审资料汇编</x:v>
      </x:c>
      <x:c r="E205" s="3" t="str">
        <x:v>赛题</x:v>
      </x:c>
      <x:c r="F205" s="3" t="str">
        <x:v>竞赛组委会（北京理工大学珠海学院转载）</x:v>
      </x:c>
      <x:c r="G205" s="3" t="str">
        <x:v>进阶</x:v>
      </x:c>
      <x:c r="H205" s="3" t="str">
        <x:v>命题类及自选课题类</x:v>
      </x:c>
      <x:c r="I205" s="3" t="str">
        <x:v>按具体题目、视频格式和评价维度规划实验、数据与报告。</x:v>
      </x:c>
      <x:c r="J205" s="3" t="str">
        <x:v>免费公开</x:v>
      </x:c>
      <x:c r="K205" s="3" t="str">
        <x:v>page_read</x:v>
      </x:c>
      <x:c r="L205" s="3" t="str">
        <x:v>已读来源页面</x:v>
      </x:c>
      <x:c r="M205" s="8" t="e">
        <x:f>HYPERLINK(N205,"打开来源")</x:f>
        <x:v>HYPERLINK is not implemented. linkLocation=https://jw.bitzh.edu.cn/docs/2026-03/a241f1b86084476daad63c9c7150da36.pdf, friendlyName=打开来源</x:v>
      </x:c>
      <x:c r="N205" s="3" t="str">
        <x:v>https://jw.bitzh.edu.cn/docs/2026-03/a241f1b86084476daad63c9c7150da36.pdf</x:v>
      </x:c>
      <x:c r="O205" s="3" t="str">
        <x:v>12页资料包含6个命题方向、自选课题要求与评审标准；其中包含AI与物理实验结合方向。</x:v>
      </x:c>
      <x:c r="P205" s="9" t="n">
        <x:v>46298</x:v>
      </x:c>
    </x:row>
    <x:row r="206" ht="44" customHeight="1">
      <x:c r="A206" s="3" t="n">
        <x:v>205</x:v>
      </x:c>
      <x:c r="B206" s="3" t="str">
        <x:v>2026087</x:v>
      </x:c>
      <x:c r="C206" s="3" t="str">
        <x:v>第三届全国大学生职业规划大赛</x:v>
      </x:c>
      <x:c r="D206" s="3" t="str">
        <x:v>第三届成长赛道方案</x:v>
      </x:c>
      <x:c r="E206" s="3" t="str">
        <x:v>规则与模板</x:v>
      </x:c>
      <x:c r="F206" s="3" t="str">
        <x:v>教育部赛道方案（广州东华职业学院转载）</x:v>
      </x:c>
      <x:c r="G206" s="3" t="str">
        <x:v>入门</x:v>
      </x:c>
      <x:c r="H206" s="3" t="str">
        <x:v>第三届成长赛道及后续生涯规划练习</x:v>
      </x:c>
      <x:c r="I206" s="3" t="str">
        <x:v>了解成长过程如何形成报告和展示材料，正式参赛应重新核对当届版本。</x:v>
      </x:c>
      <x:c r="J206" s="3" t="str">
        <x:v>待确认</x:v>
      </x:c>
      <x:c r="K206" s="3" t="str">
        <x:v>official_index</x:v>
      </x:c>
      <x:c r="L206" s="3" t="str">
        <x:v>已确认索引或入口</x:v>
      </x:c>
      <x:c r="M206" s="8" t="e">
        <x:f>HYPERLINK(N206,"打开来源")</x:f>
        <x:v>HYPERLINK is not implemented. linkLocation=https://www.gzdhxy.edu.cn/uploadfiles/2025/11/20251108155946621.pdf, friendlyName=打开来源</x:v>
      </x:c>
      <x:c r="N206" s="3" t="str">
        <x:v>https://www.gzdhxy.edu.cn/uploadfiles/2025/11/20251108155946621.pdf</x:v>
      </x:c>
      <x:c r="O206" s="3" t="str">
        <x:v>高校官方附件索引确认名称；PDF本次访问超时，未假定已读完整内容。</x:v>
      </x:c>
      <x:c r="P206" s="9" t="n">
        <x:v>46298</x:v>
      </x:c>
    </x:row>
    <x:row r="207" ht="44" customHeight="1">
      <x:c r="A207" s="3" t="n">
        <x:v>206</x:v>
      </x:c>
      <x:c r="B207" s="3" t="str">
        <x:v>2026087</x:v>
      </x:c>
      <x:c r="C207" s="3" t="str">
        <x:v>第三届全国大学生职业规划大赛</x:v>
      </x:c>
      <x:c r="D207" s="3" t="str">
        <x:v>第三届就业赛道方案</x:v>
      </x:c>
      <x:c r="E207" s="3" t="str">
        <x:v>规则与模板</x:v>
      </x:c>
      <x:c r="F207" s="3" t="str">
        <x:v>教育部赛道方案（广州东华职业学院转载）</x:v>
      </x:c>
      <x:c r="G207" s="3" t="str">
        <x:v>通用</x:v>
      </x:c>
      <x:c r="H207" s="3" t="str">
        <x:v>第三届就业赛道及求职展示训练</x:v>
      </x:c>
      <x:c r="I207" s="3" t="str">
        <x:v>按职业目标、岗位能力和发展潜力组织简历及实践证据。</x:v>
      </x:c>
      <x:c r="J207" s="3" t="str">
        <x:v>免费公开</x:v>
      </x:c>
      <x:c r="K207" s="3" t="str">
        <x:v>page_read</x:v>
      </x:c>
      <x:c r="L207" s="3" t="str">
        <x:v>已读来源页面</x:v>
      </x:c>
      <x:c r="M207" s="8" t="e">
        <x:f>HYPERLINK(N207,"打开来源")</x:f>
        <x:v>HYPERLINK is not implemented. linkLocation=https://www.gzdhxy.edu.cn/uploadfiles/2025/11/20251108160008420.pdf, friendlyName=打开来源</x:v>
      </x:c>
      <x:c r="N207" s="3" t="str">
        <x:v>https://www.gzdhxy.edu.cn/uploadfiles/2025/11/20251108160008420.pdf</x:v>
      </x:c>
      <x:c r="O207" s="3" t="str">
        <x:v>2页方案包含材料、陈述和面试环节及评价维度；是第三届版本。</x:v>
      </x:c>
      <x:c r="P207" s="9" t="n">
        <x:v>46298</x:v>
      </x:c>
    </x:row>
    <x:row r="208" ht="50" customHeight="1">
      <x:c r="A208" s="3" t="n">
        <x:v>207</x:v>
      </x:c>
      <x:c r="B208" s="3" t="str">
        <x:v>2026088</x:v>
      </x:c>
      <x:c r="C208" s="3" t="str">
        <x:v>全国大学生医学创新大赛暨“一带一路”国际竞赛</x:v>
      </x:c>
      <x:c r="D208" s="3" t="str">
        <x:v>第十二届第一轮通知与作品要求</x:v>
      </x:c>
      <x:c r="E208" s="3" t="str">
        <x:v>规则与模板</x:v>
      </x:c>
      <x:c r="F208" s="3" t="str">
        <x:v>医学创新竞赛委员会／南京中医药大学</x:v>
      </x:c>
      <x:c r="G208" s="3" t="str">
        <x:v>通用</x:v>
      </x:c>
      <x:c r="H208" s="3" t="str">
        <x:v>2026医创赛选题与作品准备</x:v>
      </x:c>
      <x:c r="I208" s="3" t="str">
        <x:v>区分赛道和作品类别，核对材料、评审及科研规范。</x:v>
      </x:c>
      <x:c r="J208" s="3" t="str">
        <x:v>免费公开</x:v>
      </x:c>
      <x:c r="K208" s="3" t="str">
        <x:v>page_read</x:v>
      </x:c>
      <x:c r="L208" s="3" t="str">
        <x:v>已读来源页面</x:v>
      </x:c>
      <x:c r="M208" s="8" t="e">
        <x:f>HYPERLINK(N208,"打开来源")</x:f>
        <x:v>HYPERLINK is not implemented. linkLocation=https://jwc.njucm.edu.cn/_upload/article/files/55/1e/2dc96cc0439cbb1e00e19c2efd1d/bc70b9e0-1159-4e6e-a50d-da41780dc199.pdf, friendlyName=打开来源</x:v>
      </x:c>
      <x:c r="N208" s="3" t="str">
        <x:v>https://jwc.njucm.edu.cn/_upload/article/files/55/1e/2dc96cc0439cbb1e00e19c2efd1d/bc70b9e0-1159-4e6e-a50d-da41780dc199.pdf</x:v>
      </x:c>
      <x:c r="O208" s="3" t="str">
        <x:v>组委会原始文件的高校公开副本，不含虚构的报名安排。</x:v>
      </x:c>
      <x:c r="P208" s="9" t="n">
        <x:v>46298</x:v>
      </x:c>
    </x:row>
    <x:row r="209" ht="50" customHeight="1">
      <x:c r="A209" s="3" t="n">
        <x:v>208</x:v>
      </x:c>
      <x:c r="B209" s="3" t="str">
        <x:v>2026088</x:v>
      </x:c>
      <x:c r="C209" s="3" t="str">
        <x:v>全国大学生医学创新大赛暨“一带一路”国际竞赛</x:v>
      </x:c>
      <x:c r="D209" s="3" t="str">
        <x:v>医学创新大赛参赛流程操作手册</x:v>
      </x:c>
      <x:c r="E209" s="3" t="str">
        <x:v>工具</x:v>
      </x:c>
      <x:c r="F209" s="3" t="str">
        <x:v>赛事平台（浙江师范大学转载）</x:v>
      </x:c>
      <x:c r="G209" s="3" t="str">
        <x:v>入门</x:v>
      </x:c>
      <x:c r="H209" s="3" t="str">
        <x:v>第十二届报名和作品提交</x:v>
      </x:c>
      <x:c r="I209" s="3" t="str">
        <x:v>帮助理解团队信息、赛区选择与材料提交流程。</x:v>
      </x:c>
      <x:c r="J209" s="3" t="str">
        <x:v>免费公开</x:v>
      </x:c>
      <x:c r="K209" s="3" t="str">
        <x:v>page_read</x:v>
      </x:c>
      <x:c r="L209" s="3" t="str">
        <x:v>已读来源页面</x:v>
      </x:c>
      <x:c r="M209" s="8" t="e">
        <x:f>HYPERLINK(N209,"打开来源")</x:f>
        <x:v>HYPERLINK is not implemented. linkLocation=https://slyx.zjnu.edu.cn/_upload/article/files/16/34/afab5c184223904f162628ea2a5e/2e250a13-f3e2-474c-9796-6959a858ba51.pdf, friendlyName=打开来源</x:v>
      </x:c>
      <x:c r="N209" s="3" t="str">
        <x:v>https://slyx.zjnu.edu.cn/_upload/article/files/16/34/afab5c184223904f162628ea2a5e/2e250a13-f3e2-474c-9796-6959a858ba51.pdf</x:v>
      </x:c>
      <x:c r="O209" s="3" t="str">
        <x:v>11页图文操作说明；操作手册可公开阅读，实际报名需要登录。</x:v>
      </x:c>
      <x:c r="P209" s="9" t="n">
        <x:v>46298</x:v>
      </x:c>
    </x:row>
    <x:row r="210" ht="44" customHeight="1">
      <x:c r="A210" s="3" t="n">
        <x:v>209</x:v>
      </x:c>
      <x:c r="B210" s="3" t="str">
        <x:v>2026088</x:v>
      </x:c>
      <x:c r="C210" s="3" t="str">
        <x:v>全国大学生医学创新大赛暨“一带一路”国际竞赛</x:v>
      </x:c>
      <x:c r="D210" s="3" t="str">
        <x:v>PubMed 文献检索用户指南</x:v>
      </x:c>
      <x:c r="E210" s="3" t="str">
        <x:v>工具</x:v>
      </x:c>
      <x:c r="F210" s="3" t="str">
        <x:v>美国国家医学图书馆 NLM</x:v>
      </x:c>
      <x:c r="G210" s="3" t="str">
        <x:v>入门</x:v>
      </x:c>
      <x:c r="H210" s="3" t="str">
        <x:v>医学选题背景调查与文献引用</x:v>
      </x:c>
      <x:c r="I210" s="3" t="str">
        <x:v>学习检索、筛选和导出文献，为研究问题与背景综述寻找依据。</x:v>
      </x:c>
      <x:c r="J210" s="3" t="str">
        <x:v>免费公开</x:v>
      </x:c>
      <x:c r="K210" s="3" t="str">
        <x:v>page_read</x:v>
      </x:c>
      <x:c r="L210" s="3" t="str">
        <x:v>已读来源页面</x:v>
      </x:c>
      <x:c r="M210" s="8" t="e">
        <x:f>HYPERLINK(N210,"打开来源")</x:f>
        <x:v>HYPERLINK is not implemented. linkLocation=https://pubmed.ncbi.nlm.nih.gov/help/, friendlyName=打开来源</x:v>
      </x:c>
      <x:c r="N210" s="3" t="str">
        <x:v>https://pubmed.ncbi.nlm.nih.gov/help/</x:v>
      </x:c>
      <x:c r="O210" s="3" t="str">
        <x:v>免费公开的检索帮助；文献全文是否可免费获取取决于各出版来源，不是赛事指定教材。</x:v>
      </x:c>
      <x:c r="P210" s="9" t="n">
        <x:v>46298</x:v>
      </x:c>
    </x:row>
    <x:row r="211" ht="44" customHeight="1">
      <x:c r="A211" s="3" t="n">
        <x:v>210</x:v>
      </x:c>
      <x:c r="B211" s="3" t="str">
        <x:v>2026089</x:v>
      </x:c>
      <x:c r="C211" s="3" t="str">
        <x:v>大学生数字媒体科技作品及创意竞赛</x:v>
      </x:c>
      <x:c r="D211" s="3" t="str">
        <x:v>2026第十四届通知与参赛要求</x:v>
      </x:c>
      <x:c r="E211" s="3" t="str">
        <x:v>规则与模板</x:v>
      </x:c>
      <x:c r="F211" s="3" t="str">
        <x:v>数媒竞赛组委会</x:v>
      </x:c>
      <x:c r="G211" s="3" t="str">
        <x:v>通用</x:v>
      </x:c>
      <x:c r="H211" s="3" t="str">
        <x:v>2026数媒竞赛</x:v>
      </x:c>
      <x:c r="I211" s="3" t="str">
        <x:v>先确认作品方向、提交和原创素材要求，再确定开发范围。</x:v>
      </x:c>
      <x:c r="J211" s="3" t="str">
        <x:v>免费公开</x:v>
      </x:c>
      <x:c r="K211" s="3" t="str">
        <x:v>page_read</x:v>
      </x:c>
      <x:c r="L211" s="3" t="str">
        <x:v>已读来源页面</x:v>
      </x:c>
      <x:c r="M211" s="8" t="e">
        <x:f>HYPERLINK(N211,"打开来源")</x:f>
        <x:v>HYPERLINK is not implemented. linkLocation=https://www.cmit.cn/html/tongzhigonggao/show-144-45826-1.html, friendlyName=打开来源</x:v>
      </x:c>
      <x:c r="N211" s="3" t="str">
        <x:v>https://www.cmit.cn/html/tongzhigonggao/show-144-45826-1.html</x:v>
      </x:c>
      <x:c r="O211" s="3" t="str">
        <x:v>通知正文可读；详细赛道技术规范仍以附件参赛指南为准。</x:v>
      </x:c>
      <x:c r="P211" s="9" t="n">
        <x:v>46298</x:v>
      </x:c>
    </x:row>
    <x:row r="212" ht="44" customHeight="1">
      <x:c r="A212" s="3" t="n">
        <x:v>211</x:v>
      </x:c>
      <x:c r="B212" s="3" t="str">
        <x:v>2026089</x:v>
      </x:c>
      <x:c r="C212" s="3" t="str">
        <x:v>大学生数字媒体科技作品及创意竞赛</x:v>
      </x:c>
      <x:c r="D212" s="3" t="str">
        <x:v>获奖案例：陶瓷工艺制作VR实训系统</x:v>
      </x:c>
      <x:c r="E212" s="3" t="str">
        <x:v>作品案例</x:v>
      </x:c>
      <x:c r="F212" s="3" t="str">
        <x:v>数媒竞赛组委会</x:v>
      </x:c>
      <x:c r="G212" s="3" t="str">
        <x:v>进阶</x:v>
      </x:c>
      <x:c r="H212" s="3" t="str">
        <x:v>虚拟现实、教学交互类作品</x:v>
      </x:c>
      <x:c r="I212" s="3" t="str">
        <x:v>了解技术与具体教学场景的结合方式和作品呈现方向。</x:v>
      </x:c>
      <x:c r="J212" s="3" t="str">
        <x:v>免费公开</x:v>
      </x:c>
      <x:c r="K212" s="3" t="str">
        <x:v>page_read</x:v>
      </x:c>
      <x:c r="L212" s="3" t="str">
        <x:v>已读来源页面</x:v>
      </x:c>
      <x:c r="M212" s="8" t="e">
        <x:f>HYPERLINK(N212,"打开来源")</x:f>
        <x:v>HYPERLINK is not implemented. linkLocation=https://www.cmit.cn/html/youxi/show-151-4141-1.html, friendlyName=打开来源</x:v>
      </x:c>
      <x:c r="N212" s="3" t="str">
        <x:v>https://www.cmit.cn/html/youxi/show-151-4141-1.html</x:v>
      </x:c>
      <x:c r="O212" s="3" t="str">
        <x:v>官网2024年国赛一等奖作品简介，仅供案例学习，不是源码或完整项目文件。</x:v>
      </x:c>
      <x:c r="P212" s="9" t="n">
        <x:v>46298</x:v>
      </x:c>
    </x:row>
    <x:row r="213" ht="44" customHeight="1">
      <x:c r="A213" s="3" t="n">
        <x:v>212</x:v>
      </x:c>
      <x:c r="B213" s="3" t="str">
        <x:v>2026089</x:v>
      </x:c>
      <x:c r="C213" s="3" t="str">
        <x:v>大学生数字媒体科技作品及创意竞赛</x:v>
      </x:c>
      <x:c r="D213" s="3" t="str">
        <x:v>Blender 官方用户手册（4.2版）</x:v>
      </x:c>
      <x:c r="E213" s="3" t="str">
        <x:v>工具</x:v>
      </x:c>
      <x:c r="F213" s="3" t="str">
        <x:v>Blender 项目</x:v>
      </x:c>
      <x:c r="G213" s="3" t="str">
        <x:v>入门</x:v>
      </x:c>
      <x:c r="H213" s="3" t="str">
        <x:v>三维建模、动画与数字场景基础</x:v>
      </x:c>
      <x:c r="I213" s="3" t="str">
        <x:v>按功能查阅建模、动画和渲染工具，辅助制作数字媒体资产。</x:v>
      </x:c>
      <x:c r="J213" s="3" t="str">
        <x:v>待确认</x:v>
      </x:c>
      <x:c r="K213" s="3" t="str">
        <x:v>search_result</x:v>
      </x:c>
      <x:c r="L213" s="3" t="str">
        <x:v>仅搜索结果，待核对</x:v>
      </x:c>
      <x:c r="M213" s="8" t="e">
        <x:f>HYPERLINK(N213,"打开来源")</x:f>
        <x:v>HYPERLINK is not implemented. linkLocation=https://docs.blender.org/manual/en/4.2/, friendlyName=打开来源</x:v>
      </x:c>
      <x:c r="N213" s="3" t="str">
        <x:v>https://docs.blender.org/manual/en/4.2/</x:v>
      </x:c>
      <x:c r="O213" s="3" t="str">
        <x:v>官方手册搜索索引可读，直接页面访问失败；明确为4.2版，界面需与实际安装版本对应。</x:v>
      </x:c>
      <x:c r="P213" s="9" t="n">
        <x:v>46298</x:v>
      </x:c>
    </x:row>
  </x:sheetData>
  <x:pageMargins left="0.7" right="0.7" top="0.75" bottom="0.75" header="0.3" footer="0.3"/>
  <x:tableParts count="1">
    <x:tablePart xmlns:r="http://schemas.openxmlformats.org/officeDocument/2006/relationships" r:id="Rbba439ed48634953"/>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13" hidden="0" customWidth="1"/>
    <x:col min="3" max="3" width="36" hidden="0" customWidth="1"/>
    <x:col min="4" max="4" width="44" hidden="0" customWidth="1"/>
    <x:col min="5" max="5" width="32" hidden="0" customWidth="1"/>
    <x:col min="6" max="6" width="14" hidden="0" customWidth="1"/>
    <x:col min="7" max="7" width="20" hidden="0" customWidth="1"/>
    <x:col min="8" max="8" width="24" hidden="0" customWidth="1"/>
    <x:col min="9" max="9" width="16" hidden="0" customWidth="1"/>
    <x:col min="10" max="10" width="14" hidden="0" customWidth="1"/>
    <x:col min="11" max="11" width="52" hidden="0" customWidth="1"/>
    <x:col min="12" max="12" width="72" hidden="0" customWidth="1"/>
    <x:col min="13" max="13" width="14" hidden="0" customWidth="1"/>
  </x:cols>
  <x:sheetData>
    <x:row r="1" ht="32" customHeight="1">
      <x:c r="A1" s="7" t="str">
        <x:v>来源序号</x:v>
      </x:c>
      <x:c r="B1" s="7" t="str">
        <x:v>目录编号</x:v>
      </x:c>
      <x:c r="C1" s="7" t="str">
        <x:v>赛事名称</x:v>
      </x:c>
      <x:c r="D1" s="7" t="str">
        <x:v>页面名称</x:v>
      </x:c>
      <x:c r="E1" s="7" t="str">
        <x:v>发布方</x:v>
      </x:c>
      <x:c r="F1" s="7" t="str">
        <x:v>来源类型</x:v>
      </x:c>
      <x:c r="G1" s="7" t="str">
        <x:v>证据代码</x:v>
      </x:c>
      <x:c r="H1" s="7" t="str">
        <x:v>核验程度</x:v>
      </x:c>
      <x:c r="I1" s="7" t="str">
        <x:v>原文发布日期</x:v>
      </x:c>
      <x:c r="J1" s="7" t="str">
        <x:v>来源链接</x:v>
      </x:c>
      <x:c r="K1" s="7" t="str">
        <x:v>来源网址</x:v>
      </x:c>
      <x:c r="L1" s="7" t="str">
        <x:v>内容摘要</x:v>
      </x:c>
      <x:c r="M1" s="7" t="str">
        <x:v>整理日期</x:v>
      </x:c>
    </x:row>
    <x:row r="2" ht="44" customHeight="1">
      <x:c r="A2" s="3" t="n">
        <x:v>1</x:v>
      </x:c>
      <x:c r="B2" s="3" t="str">
        <x:v>2026001</x:v>
      </x:c>
      <x:c r="C2" s="3" t="str">
        <x:v>中国国际大学生创新大赛（2026）</x:v>
      </x:c>
      <x:c r="D2" s="3" t="str">
        <x:v>教育部2026年办赛通知</x:v>
      </x:c>
      <x:c r="E2" s="3" t="str">
        <x:v>教育部</x:v>
      </x:c>
      <x:c r="F2" s="3" t="str">
        <x:v>官方发布</x:v>
      </x:c>
      <x:c r="G2" s="3" t="str">
        <x:v>search_result</x:v>
      </x:c>
      <x:c r="H2" s="3" t="str">
        <x:v>仅搜索结果，待核对</x:v>
      </x:c>
      <x:c r="I2" s="9" t="str"/>
      <x:c r="J2" s="8" t="e">
        <x:f>HYPERLINK(K2,"打开来源")</x:f>
        <x:v>HYPERLINK is not implemented. linkLocation=https://www.moe.gov.cn/srcsite/A08/s5672/202607/t20260731_1445670.html, friendlyName=打开来源</x:v>
      </x:c>
      <x:c r="K2" s="3" t="str">
        <x:v>https://www.moe.gov.cn/srcsite/A08/s5672/202607/t20260731_1445670.html</x:v>
      </x:c>
      <x:c r="L2" s="3" t="str">
        <x:v>列出赛道、组织方式、赛程及各赛道方案附件。网页直读超时，当前依据官方搜索索引。</x:v>
      </x:c>
      <x:c r="M2" s="9" t="n">
        <x:v>46298</x:v>
      </x:c>
    </x:row>
    <x:row r="3" ht="44" customHeight="1">
      <x:c r="A3" s="3" t="n">
        <x:v>2</x:v>
      </x:c>
      <x:c r="B3" s="3" t="str">
        <x:v>2026001</x:v>
      </x:c>
      <x:c r="C3" s="3" t="str">
        <x:v>中国国际大学生创新大赛（2026）</x:v>
      </x:c>
      <x:c r="D3" s="3" t="str">
        <x:v>2026官网报名及资料入口说明</x:v>
      </x:c>
      <x:c r="E3" s="3" t="str">
        <x:v>常州大学创新创业学院</x:v>
      </x:c>
      <x:c r="F3" s="3" t="str">
        <x:v>高校发布</x:v>
      </x:c>
      <x:c r="G3" s="3" t="str">
        <x:v>page_read</x:v>
      </x:c>
      <x:c r="H3" s="3" t="str">
        <x:v>已读来源页面</x:v>
      </x:c>
      <x:c r="I3" s="9" t="n">
        <x:v>46244</x:v>
      </x:c>
      <x:c r="J3" s="8" t="e">
        <x:f>HYPERLINK(K3,"打开来源")</x:f>
        <x:v>HYPERLINK is not implemented. linkLocation=https://cxcy.cczu.edu.cn/2026/0810/c6900a420359/page.htm, friendlyName=打开来源</x:v>
      </x:c>
      <x:c r="K3" s="3" t="str">
        <x:v>https://cxcy.cczu.edu.cn/2026/0810/c6900a420359/page.htm</x:v>
      </x:c>
      <x:c r="L3" s="3" t="str">
        <x:v>明确官方报名入口、常见问题入口，附学生操作手册和大赛解读。</x:v>
      </x:c>
      <x:c r="M3" s="9" t="n">
        <x:v>46298</x:v>
      </x:c>
    </x:row>
    <x:row r="4" ht="44" customHeight="1">
      <x:c r="A4" s="3" t="n">
        <x:v>3</x:v>
      </x:c>
      <x:c r="B4" s="3" t="str">
        <x:v>2026002</x:v>
      </x:c>
      <x:c r="C4" s="3" t="str">
        <x:v>“挑战杯”中国大学生创业计划竞赛</x:v>
      </x:c>
      <x:c r="D4" s="3" t="str">
        <x:v>挑战杯官方网站及2026培训动态</x:v>
      </x:c>
      <x:c r="E4" s="3" t="str">
        <x:v>挑战杯组委会</x:v>
      </x:c>
      <x:c r="F4" s="3" t="str">
        <x:v>官方发布</x:v>
      </x:c>
      <x:c r="G4" s="3" t="str">
        <x:v>page_read</x:v>
      </x:c>
      <x:c r="H4" s="3" t="str">
        <x:v>已读来源页面</x:v>
      </x:c>
      <x:c r="I4" s="9" t="str"/>
      <x:c r="J4" s="8" t="e">
        <x:f>HYPERLINK(K4,"打开来源")</x:f>
        <x:v>HYPERLINK is not implemented. linkLocation=https://www.tiaozhanbei.net/?ID=2, friendlyName=打开来源</x:v>
      </x:c>
      <x:c r="K4" s="3" t="str">
        <x:v>https://www.tiaozhanbei.net/?ID=2</x:v>
      </x:c>
      <x:c r="L4" s="3" t="str">
        <x:v>首页列出第十五届培训与学霸笔记，区分创业计划与课外学术科技作品两项赛事。</x:v>
      </x:c>
      <x:c r="M4" s="9" t="n">
        <x:v>46298</x:v>
      </x:c>
    </x:row>
    <x:row r="5" ht="44" customHeight="1">
      <x:c r="A5" s="3" t="n">
        <x:v>4</x:v>
      </x:c>
      <x:c r="B5" s="3" t="str">
        <x:v>2026003</x:v>
      </x:c>
      <x:c r="C5" s="3" t="str">
        <x:v>中国青年科技创新“揭榜挂帅”擂台赛</x:v>
      </x:c>
      <x:c r="D5" s="3" t="str">
        <x:v>2026擂台赛通知与榜题目录</x:v>
      </x:c>
      <x:c r="E5" s="3" t="str">
        <x:v>中国农业大学团委转载</x:v>
      </x:c>
      <x:c r="F5" s="3" t="str">
        <x:v>高校发布</x:v>
      </x:c>
      <x:c r="G5" s="3" t="str">
        <x:v>page_read</x:v>
      </x:c>
      <x:c r="H5" s="3" t="str">
        <x:v>已读来源页面</x:v>
      </x:c>
      <x:c r="I5" s="9" t="n">
        <x:v>46157</x:v>
      </x:c>
      <x:c r="J5" s="8" t="e">
        <x:f>HYPERLINK(K5,"打开来源")</x:f>
        <x:v>HYPERLINK is not implemented. linkLocation=https://youth.cau.edu.cn/art/2026/5/15/art_45078_1113491.html, friendlyName=打开来源</x:v>
      </x:c>
      <x:c r="K5" s="3" t="str">
        <x:v>https://youth.cau.edu.cn/art/2026/5/15/art_45078_1113491.html</x:v>
      </x:c>
      <x:c r="L5" s="3" t="str">
        <x:v>页面列出领域、榜题、参赛要求及方案附件；其中校内报送安排仅适用于发布高校。</x:v>
      </x:c>
      <x:c r="M5" s="9" t="n">
        <x:v>46298</x:v>
      </x:c>
    </x:row>
    <x:row r="6" ht="44" customHeight="1">
      <x:c r="A6" s="3" t="n">
        <x:v>5</x:v>
      </x:c>
      <x:c r="B6" s="3" t="str">
        <x:v>2026004</x:v>
      </x:c>
      <x:c r="C6" s="3" t="str">
        <x:v>全国大学生金相技能大赛</x:v>
      </x:c>
      <x:c r="D6" s="3" t="str">
        <x:v>实验技能赛道参赛指南</x:v>
      </x:c>
      <x:c r="E6" s="3" t="str">
        <x:v>全国大学生金相技能大赛组委会</x:v>
      </x:c>
      <x:c r="F6" s="3" t="str">
        <x:v>官方发布</x:v>
      </x:c>
      <x:c r="G6" s="3" t="str">
        <x:v>search_result</x:v>
      </x:c>
      <x:c r="H6" s="3" t="str">
        <x:v>仅搜索结果，待核对</x:v>
      </x:c>
      <x:c r="I6" s="9" t="str"/>
      <x:c r="J6" s="8" t="e">
        <x:f>HYPERLINK(K6,"打开来源")</x:f>
        <x:v>HYPERLINK is not implemented. linkLocation=https://www.jxds.tech/dangjie-shiyan-zhinan, friendlyName=打开来源</x:v>
      </x:c>
      <x:c r="K6" s="3" t="str">
        <x:v>https://www.jxds.tech/dangjie-shiyan-zhinan</x:v>
      </x:c>
      <x:c r="L6" s="3" t="str">
        <x:v>指南显示2027赛季，并提示第一赛道新规则尚未发布，暂参考第十五届部分规则。</x:v>
      </x:c>
      <x:c r="M6" s="9" t="n">
        <x:v>46298</x:v>
      </x:c>
    </x:row>
    <x:row r="7" ht="44" customHeight="1">
      <x:c r="A7" s="3" t="n">
        <x:v>6</x:v>
      </x:c>
      <x:c r="B7" s="3" t="str">
        <x:v>2026004</x:v>
      </x:c>
      <x:c r="C7" s="3" t="str">
        <x:v>全国大学生金相技能大赛</x:v>
      </x:c>
      <x:c r="D7" s="3" t="str">
        <x:v>规章制度与赛季资料</x:v>
      </x:c>
      <x:c r="E7" s="3" t="str">
        <x:v>全国大学生金相技能大赛组委会</x:v>
      </x:c>
      <x:c r="F7" s="3" t="str">
        <x:v>官方发布</x:v>
      </x:c>
      <x:c r="G7" s="3" t="str">
        <x:v>search_result</x:v>
      </x:c>
      <x:c r="H7" s="3" t="str">
        <x:v>仅搜索结果，待核对</x:v>
      </x:c>
      <x:c r="I7" s="9" t="str"/>
      <x:c r="J7" s="8" t="e">
        <x:f>HYPERLINK(K7,"打开来源")</x:f>
        <x:v>HYPERLINK is not implemented. linkLocation=https://www.jxds.tech/guizhangzhidu, friendlyName=打开来源</x:v>
      </x:c>
      <x:c r="K7" s="3" t="str">
        <x:v>https://www.jxds.tech/guizhangzhidu</x:v>
      </x:c>
      <x:c r="L7" s="3" t="str">
        <x:v>含赛道组织办法、制样操作规程与历届规则入口。</x:v>
      </x:c>
      <x:c r="M7" s="9" t="n">
        <x:v>46298</x:v>
      </x:c>
    </x:row>
    <x:row r="8" ht="44" customHeight="1">
      <x:c r="A8" s="3" t="n">
        <x:v>7</x:v>
      </x:c>
      <x:c r="B8" s="3" t="str">
        <x:v>2026005</x:v>
      </x:c>
      <x:c r="C8" s="3" t="str">
        <x:v>全国大学生测绘学科创新创业智能大赛</x:v>
      </x:c>
      <x:c r="D8" s="3" t="str">
        <x:v>2026一号通知</x:v>
      </x:c>
      <x:c r="E8" s="3" t="str">
        <x:v>中国测绘学会</x:v>
      </x:c>
      <x:c r="F8" s="3" t="str">
        <x:v>官方发布</x:v>
      </x:c>
      <x:c r="G8" s="3" t="str">
        <x:v>search_result</x:v>
      </x:c>
      <x:c r="H8" s="3" t="str">
        <x:v>仅搜索结果，待核对</x:v>
      </x:c>
      <x:c r="I8" s="9" t="str"/>
      <x:c r="J8" s="8" t="e">
        <x:f>HYPERLINK(K8,"打开来源")</x:f>
        <x:v>HYPERLINK is not implemented. linkLocation=https://amap.csgpc.org/detail/27080.html, friendlyName=打开来源</x:v>
      </x:c>
      <x:c r="K8" s="3" t="str">
        <x:v>https://amap.csgpc.org/detail/27080.html</x:v>
      </x:c>
      <x:c r="L8" s="3" t="str">
        <x:v>列出参赛范围、赛项和附件2—6比赛规程。</x:v>
      </x:c>
      <x:c r="M8" s="9" t="n">
        <x:v>46298</x:v>
      </x:c>
    </x:row>
    <x:row r="9" ht="44" customHeight="1">
      <x:c r="A9" s="3" t="n">
        <x:v>8</x:v>
      </x:c>
      <x:c r="B9" s="3" t="str">
        <x:v>2026005</x:v>
      </x:c>
      <x:c r="C9" s="3" t="str">
        <x:v>全国大学生测绘学科创新创业智能大赛</x:v>
      </x:c>
      <x:c r="D9" s="3" t="str">
        <x:v>2026二号通知</x:v>
      </x:c>
      <x:c r="E9" s="3" t="str">
        <x:v>中国测绘学会</x:v>
      </x:c>
      <x:c r="F9" s="3" t="str">
        <x:v>官方发布</x:v>
      </x:c>
      <x:c r="G9" s="3" t="str">
        <x:v>search_result</x:v>
      </x:c>
      <x:c r="H9" s="3" t="str">
        <x:v>仅搜索结果，待核对</x:v>
      </x:c>
      <x:c r="I9" s="9" t="n">
        <x:v>46221</x:v>
      </x:c>
      <x:c r="J9" s="8" t="e">
        <x:f>HYPERLINK(K9,"打开来源")</x:f>
        <x:v>HYPERLINK is not implemented. linkLocation=https://2024nh.csgpc.org/detail/27739.html, friendlyName=打开来源</x:v>
      </x:c>
      <x:c r="K9" s="3" t="str">
        <x:v>https://2024nh.csgpc.org/detail/27739.html</x:v>
      </x:c>
      <x:c r="L9" s="3" t="str">
        <x:v>给出2026年7—8月比赛安排；不能据此显示为当前报名中。</x:v>
      </x:c>
      <x:c r="M9" s="9" t="n">
        <x:v>46298</x:v>
      </x:c>
    </x:row>
    <x:row r="10" ht="44" customHeight="1">
      <x:c r="A10" s="3" t="n">
        <x:v>9</x:v>
      </x:c>
      <x:c r="B10" s="3" t="str">
        <x:v>2026006</x:v>
      </x:c>
      <x:c r="C10" s="3" t="str">
        <x:v>iCAN大学生创新创业大赛</x:v>
      </x:c>
      <x:c r="D10" s="3" t="str">
        <x:v>第二十届iCAN官网通知</x:v>
      </x:c>
      <x:c r="E10" s="3" t="str">
        <x:v>iCAN组委会</x:v>
      </x:c>
      <x:c r="F10" s="3" t="str">
        <x:v>官方发布</x:v>
      </x:c>
      <x:c r="G10" s="3" t="str">
        <x:v>search_result</x:v>
      </x:c>
      <x:c r="H10" s="3" t="str">
        <x:v>仅搜索结果，待核对</x:v>
      </x:c>
      <x:c r="I10" s="9" t="str"/>
      <x:c r="J10" s="8" t="e">
        <x:f>HYPERLINK(K10,"打开来源")</x:f>
        <x:v>HYPERLINK is not implemented. linkLocation=https://www.g-ican.com/news/details?id=234, friendlyName=打开来源</x:v>
      </x:c>
      <x:c r="K10" s="3" t="str">
        <x:v>https://www.g-ican.com/news/details?id=234</x:v>
      </x:c>
      <x:c r="L10" s="3" t="str">
        <x:v>官方索引给出更新后的报名和展示要求，页面动态内容未直接读取。</x:v>
      </x:c>
      <x:c r="M10" s="9" t="n">
        <x:v>46298</x:v>
      </x:c>
    </x:row>
    <x:row r="11" ht="44" customHeight="1">
      <x:c r="A11" s="3" t="n">
        <x:v>10</x:v>
      </x:c>
      <x:c r="B11" s="3" t="str">
        <x:v>2026006</x:v>
      </x:c>
      <x:c r="C11" s="3" t="str">
        <x:v>iCAN大学生创新创业大赛</x:v>
      </x:c>
      <x:c r="D11" s="3" t="str">
        <x:v>第二十届通知与赛道方案转载</x:v>
      </x:c>
      <x:c r="E11" s="3" t="str">
        <x:v>哈尔滨工业大学</x:v>
      </x:c>
      <x:c r="F11" s="3" t="str">
        <x:v>高校发布</x:v>
      </x:c>
      <x:c r="G11" s="3" t="str">
        <x:v>page_read</x:v>
      </x:c>
      <x:c r="H11" s="3" t="str">
        <x:v>已读来源页面</x:v>
      </x:c>
      <x:c r="I11" s="9" t="n">
        <x:v>46132</x:v>
      </x:c>
      <x:c r="J11" s="8" t="e">
        <x:f>HYPERLINK(K11,"打开来源")</x:f>
        <x:v>HYPERLINK is not implemented. linkLocation=https://seie.hit.edu.cn/2026/0414/c9232a389941/page.htm, friendlyName=打开来源</x:v>
      </x:c>
      <x:c r="K11" s="3" t="str">
        <x:v>https://seie.hit.edu.cn/2026/0414/c9232a389941/page.htm</x:v>
      </x:c>
      <x:c r="L11" s="3" t="str">
        <x:v>全文可读，适合作为早期方案背景；不能用旧评分覆盖官网更新。</x:v>
      </x:c>
      <x:c r="M11" s="9" t="n">
        <x:v>46298</x:v>
      </x:c>
    </x:row>
    <x:row r="12" ht="44" customHeight="1">
      <x:c r="A12" s="3" t="n">
        <x:v>11</x:v>
      </x:c>
      <x:c r="B12" s="3" t="str">
        <x:v>2026007</x:v>
      </x:c>
      <x:c r="C12" s="3" t="str">
        <x:v>全国大学生创新年会</x:v>
      </x:c>
      <x:c r="D12" s="3" t="str">
        <x:v>第十九届年会准备工作通知</x:v>
      </x:c>
      <x:c r="E12" s="3" t="str">
        <x:v>全国大学生创新年会平台</x:v>
      </x:c>
      <x:c r="F12" s="3" t="str">
        <x:v>官方发布</x:v>
      </x:c>
      <x:c r="G12" s="3" t="str">
        <x:v>page_read</x:v>
      </x:c>
      <x:c r="H12" s="3" t="str">
        <x:v>已读来源页面</x:v>
      </x:c>
      <x:c r="I12" s="9" t="n">
        <x:v>46287</x:v>
      </x:c>
      <x:c r="J12" s="8" t="e">
        <x:f>HYPERLINK(K12,"打开来源")</x:f>
        <x:v>HYPERLINK is not implemented. linkLocation=https://www.gjcxcy.cn/PublicColumn/Notice/ea09170e-3609-4ca3-9b9d-aaa79fc04d68, friendlyName=打开来源</x:v>
      </x:c>
      <x:c r="K12" s="3" t="str">
        <x:v>https://www.gjcxcy.cn/PublicColumn/Notice/ea09170e-3609-4ca3-9b9d-aaa79fc04d68</x:v>
      </x:c>
      <x:c r="L12" s="3" t="str">
        <x:v>说明推荐遴选与项目报送安排。</x:v>
      </x:c>
      <x:c r="M12" s="9" t="n">
        <x:v>46298</x:v>
      </x:c>
    </x:row>
    <x:row r="13" ht="44" customHeight="1">
      <x:c r="A13" s="3" t="n">
        <x:v>12</x:v>
      </x:c>
      <x:c r="B13" s="3" t="str">
        <x:v>2026008</x:v>
      </x:c>
      <x:c r="C13" s="3" t="str">
        <x:v>全国大学生工程实践与创新能力大赛（2026）</x:v>
      </x:c>
      <x:c r="D13" s="3" t="str">
        <x:v>组委会赛事主页</x:v>
      </x:c>
      <x:c r="E13" s="3" t="str">
        <x:v>中国大学生工程实践与创新能力大赛组委会</x:v>
      </x:c>
      <x:c r="F13" s="3" t="str">
        <x:v>官方发布</x:v>
      </x:c>
      <x:c r="G13" s="3" t="str">
        <x:v>page_read</x:v>
      </x:c>
      <x:c r="H13" s="3" t="str">
        <x:v>已读来源页面</x:v>
      </x:c>
      <x:c r="I13" s="9" t="str"/>
      <x:c r="J13" s="8" t="e">
        <x:f>HYPERLINK(K13,"打开来源")</x:f>
        <x:v>HYPERLINK is not implemented. linkLocation=https://gcxl.dlut.edu.cn/new/, friendlyName=打开来源</x:v>
      </x:c>
      <x:c r="K13" s="3" t="str">
        <x:v>https://gcxl.dlut.edu.cn/new/</x:v>
      </x:c>
      <x:c r="L13" s="3" t="str">
        <x:v>展示2027赛事赛道与参赛条件。</x:v>
      </x:c>
      <x:c r="M13" s="9" t="n">
        <x:v>46298</x:v>
      </x:c>
    </x:row>
    <x:row r="14" ht="44" customHeight="1">
      <x:c r="A14" s="3" t="n">
        <x:v>13</x:v>
      </x:c>
      <x:c r="B14" s="3" t="str">
        <x:v>2026008</x:v>
      </x:c>
      <x:c r="C14" s="3" t="str">
        <x:v>全国大学生工程实践与创新能力大赛（2026）</x:v>
      </x:c>
      <x:c r="D14" s="3" t="str">
        <x:v>2027预通知及命题规则附件</x:v>
      </x:c>
      <x:c r="E14" s="3" t="str">
        <x:v>西安交通大学实践教学中心</x:v>
      </x:c>
      <x:c r="F14" s="3" t="str">
        <x:v>高校发布</x:v>
      </x:c>
      <x:c r="G14" s="3" t="str">
        <x:v>page_read</x:v>
      </x:c>
      <x:c r="H14" s="3" t="str">
        <x:v>已读来源页面</x:v>
      </x:c>
      <x:c r="I14" s="9" t="n">
        <x:v>46163</x:v>
      </x:c>
      <x:c r="J14" s="8" t="e">
        <x:f>HYPERLINK(K14,"打开来源")</x:f>
        <x:v>HYPERLINK is not implemented. linkLocation=https://pec.xjtu.edu.cn/info/1191/5402.htm, friendlyName=打开来源</x:v>
      </x:c>
      <x:c r="K14" s="3" t="str">
        <x:v>https://pec.xjtu.edu.cn/info/1191/5402.htm</x:v>
      </x:c>
      <x:c r="L14" s="3" t="str">
        <x:v>转载预通知，附三个赛道的命题、运行与评分文件。</x:v>
      </x:c>
      <x:c r="M14" s="9" t="n">
        <x:v>46298</x:v>
      </x:c>
    </x:row>
    <x:row r="15" ht="44" customHeight="1">
      <x:c r="A15" s="3" t="n">
        <x:v>14</x:v>
      </x:c>
      <x:c r="B15" s="3" t="str">
        <x:v>2026009</x:v>
      </x:c>
      <x:c r="C15" s="3" t="str">
        <x:v>中国大学生机械工程创新创意大赛-智能制造赛</x:v>
      </x:c>
      <x:c r="D15" s="3" t="str">
        <x:v>2026智能制造赛通知</x:v>
      </x:c>
      <x:c r="E15" s="3" t="str">
        <x:v>中国石油大学（华东）</x:v>
      </x:c>
      <x:c r="F15" s="3" t="str">
        <x:v>高校发布</x:v>
      </x:c>
      <x:c r="G15" s="3" t="str">
        <x:v>page_read</x:v>
      </x:c>
      <x:c r="H15" s="3" t="str">
        <x:v>已读来源页面</x:v>
      </x:c>
      <x:c r="I15" s="9" t="n">
        <x:v>46110</x:v>
      </x:c>
      <x:c r="J15" s="8" t="e">
        <x:f>HYPERLINK(K15,"打开来源")</x:f>
        <x:v>HYPERLINK is not implemented. linkLocation=https://cmee.upc.edu.cn/2026/0329/c21211a486315/page.htm, friendlyName=打开来源</x:v>
      </x:c>
      <x:c r="K15" s="3" t="str">
        <x:v>https://cmee.upc.edu.cn/2026/0329/c21211a486315/page.htm</x:v>
      </x:c>
      <x:c r="L15" s="3" t="str">
        <x:v>确认赛事官网与本科方向；原文赛程有年份和月份不一致，暂不作为精确日期依据。</x:v>
      </x:c>
      <x:c r="M15" s="9" t="n">
        <x:v>46298</x:v>
      </x:c>
    </x:row>
    <x:row r="16" ht="44" customHeight="1">
      <x:c r="A16" s="3" t="n">
        <x:v>15</x:v>
      </x:c>
      <x:c r="B16" s="3" t="str">
        <x:v>2026009</x:v>
      </x:c>
      <x:c r="C16" s="3" t="str">
        <x:v>中国大学生机械工程创新创意大赛-智能制造赛</x:v>
      </x:c>
      <x:c r="D16" s="3" t="str">
        <x:v>2026机械工程创新创意大赛学会文件</x:v>
      </x:c>
      <x:c r="E16" s="3" t="str">
        <x:v>中国机械工程学会</x:v>
      </x:c>
      <x:c r="F16" s="3" t="str">
        <x:v>官方发布</x:v>
      </x:c>
      <x:c r="G16" s="3" t="str">
        <x:v>search_result</x:v>
      </x:c>
      <x:c r="H16" s="3" t="str">
        <x:v>仅搜索结果，待核对</x:v>
      </x:c>
      <x:c r="I16" s="9" t="str"/>
      <x:c r="J16" s="8" t="e">
        <x:f>HYPERLINK(K16,"打开来源")</x:f>
        <x:v>HYPERLINK is not implemented. linkLocation=https://www.cmes.org/cmes/upload/2026/03-18/09-51-2008271591192214.pdf, friendlyName=打开来源</x:v>
      </x:c>
      <x:c r="K16" s="3" t="str">
        <x:v>https://www.cmes.org/cmes/upload/2026/03-18/09-51-2008271591192214.pdf</x:v>
      </x:c>
      <x:c r="L16" s="3" t="str">
        <x:v>包含智能制造赛等赛项安排。</x:v>
      </x:c>
      <x:c r="M16" s="9" t="n">
        <x:v>46298</x:v>
      </x:c>
    </x:row>
    <x:row r="17" ht="44" customHeight="1">
      <x:c r="A17" s="3" t="n">
        <x:v>16</x:v>
      </x:c>
      <x:c r="B17" s="3" t="str">
        <x:v>2026010</x:v>
      </x:c>
      <x:c r="C17" s="3" t="str">
        <x:v>“西门子杯”中国智能制造挑战赛</x:v>
      </x:c>
      <x:c r="D17" s="3" t="str">
        <x:v>2026第二十届办赛通知</x:v>
      </x:c>
      <x:c r="E17" s="3" t="str">
        <x:v>西门子杯组委会</x:v>
      </x:c>
      <x:c r="F17" s="3" t="str">
        <x:v>官方发布</x:v>
      </x:c>
      <x:c r="G17" s="3" t="str">
        <x:v>page_read</x:v>
      </x:c>
      <x:c r="H17" s="3" t="str">
        <x:v>已读来源页面</x:v>
      </x:c>
      <x:c r="I17" s="9" t="str"/>
      <x:c r="J17" s="8" t="e">
        <x:f>HYPERLINK(K17,"打开来源")</x:f>
        <x:v>HYPERLINK is not implemented. linkLocation=https://www.siemenscup-cimc.org.cn/notice/NoticeDetail?id=2431, friendlyName=打开来源</x:v>
      </x:c>
      <x:c r="K17" s="3" t="str">
        <x:v>https://www.siemenscup-cimc.org.cn/notice/NoticeDetail?id=2431</x:v>
      </x:c>
      <x:c r="L17" s="3" t="str">
        <x:v>官方年度通知；报名与赛项规则应配套阅读。</x:v>
      </x:c>
      <x:c r="M17" s="9" t="n">
        <x:v>46298</x:v>
      </x:c>
    </x:row>
    <x:row r="18" ht="44" customHeight="1">
      <x:c r="A18" s="3" t="n">
        <x:v>17</x:v>
      </x:c>
      <x:c r="B18" s="3" t="str">
        <x:v>2026010</x:v>
      </x:c>
      <x:c r="C18" s="3" t="str">
        <x:v>“西门子杯”中国智能制造挑战赛</x:v>
      </x:c>
      <x:c r="D18" s="3" t="str">
        <x:v>赛事通知列表</x:v>
      </x:c>
      <x:c r="E18" s="3" t="str">
        <x:v>西门子杯组委会</x:v>
      </x:c>
      <x:c r="F18" s="3" t="str">
        <x:v>官方发布</x:v>
      </x:c>
      <x:c r="G18" s="3" t="str">
        <x:v>page_read</x:v>
      </x:c>
      <x:c r="H18" s="3" t="str">
        <x:v>已读来源页面</x:v>
      </x:c>
      <x:c r="I18" s="9" t="str"/>
      <x:c r="J18" s="8" t="e">
        <x:f>HYPERLINK(K18,"打开来源")</x:f>
        <x:v>HYPERLINK is not implemented. linkLocation=https://www.siemenscup-cimc.org.cn/competition/index, friendlyName=打开来源</x:v>
      </x:c>
      <x:c r="K18" s="3" t="str">
        <x:v>https://www.siemenscup-cimc.org.cn/competition/index</x:v>
      </x:c>
      <x:c r="L18" s="3" t="str">
        <x:v>2026年8月已发布总决赛成绩，适合作为当届归档依据。</x:v>
      </x:c>
      <x:c r="M18" s="9" t="n">
        <x:v>46298</x:v>
      </x:c>
    </x:row>
    <x:row r="19" ht="44" customHeight="1">
      <x:c r="A19" s="3" t="n">
        <x:v>18</x:v>
      </x:c>
      <x:c r="B19" s="3" t="str">
        <x:v>2026011</x:v>
      </x:c>
      <x:c r="C19" s="3" t="str">
        <x:v>VEX机器人全国精英赛</x:v>
      </x:c>
      <x:c r="D19" s="3" t="str">
        <x:v>全国VEX精英赛VURC大学组</x:v>
      </x:c>
      <x:c r="E19" s="3" t="str">
        <x:v>RobotEvents赛事平台</x:v>
      </x:c>
      <x:c r="F19" s="3" t="str">
        <x:v>官方发布</x:v>
      </x:c>
      <x:c r="G19" s="3" t="str">
        <x:v>search_result</x:v>
      </x:c>
      <x:c r="H19" s="3" t="str">
        <x:v>仅搜索结果，待核对</x:v>
      </x:c>
      <x:c r="I19" s="9" t="str"/>
      <x:c r="J19" s="8" t="e">
        <x:f>HYPERLINK(K19,"打开来源")</x:f>
        <x:v>HYPERLINK is not implemented. linkLocation=https://www.robotevents.com/lv/robot-competitions/college-competition/RE-VURC-25-0840.html, friendlyName=打开来源</x:v>
      </x:c>
      <x:c r="K19" s="3" t="str">
        <x:v>https://www.robotevents.com/lv/robot-competitions/college-competition/RE-VURC-25-0840.html</x:v>
      </x:c>
      <x:c r="L19" s="3" t="str">
        <x:v>官方索引显示2026年1月举行，事件码RE-VURC-25-0840；中文旧链接已失效。</x:v>
      </x:c>
      <x:c r="M19" s="9" t="n">
        <x:v>46298</x:v>
      </x:c>
    </x:row>
    <x:row r="20" ht="44" customHeight="1">
      <x:c r="A20" s="3" t="n">
        <x:v>19</x:v>
      </x:c>
      <x:c r="B20" s="3" t="str">
        <x:v>2026012</x:v>
      </x:c>
      <x:c r="C20" s="3" t="str">
        <x:v>大学生新一代信息通信科技大赛</x:v>
      </x:c>
      <x:c r="D20" s="3" t="str">
        <x:v>信科赛官网与平台维护公告</x:v>
      </x:c>
      <x:c r="E20" s="3" t="str">
        <x:v>信科赛组委会</x:v>
      </x:c>
      <x:c r="F20" s="3" t="str">
        <x:v>官方发布</x:v>
      </x:c>
      <x:c r="G20" s="3" t="str">
        <x:v>search_result</x:v>
      </x:c>
      <x:c r="H20" s="3" t="str">
        <x:v>仅搜索结果，待核对</x:v>
      </x:c>
      <x:c r="I20" s="9" t="str"/>
      <x:c r="J20" s="8" t="e">
        <x:f>HYPERLINK(K20,"打开来源")</x:f>
        <x:v>HYPERLINK is not implemented. linkLocation=https://dtcup.dtxiaotangren.com/, friendlyName=打开来源</x:v>
      </x:c>
      <x:c r="K20" s="3" t="str">
        <x:v>https://dtcup.dtxiaotangren.com/</x:v>
      </x:c>
      <x:c r="L20" s="3" t="str">
        <x:v>说明名称变更、教师统一报名、学习账号开通及官网迁移。</x:v>
      </x:c>
      <x:c r="M20" s="9" t="n">
        <x:v>46298</x:v>
      </x:c>
    </x:row>
    <x:row r="21" ht="44" customHeight="1">
      <x:c r="A21" s="3" t="n">
        <x:v>20</x:v>
      </x:c>
      <x:c r="B21" s="3" t="str">
        <x:v>2026012</x:v>
      </x:c>
      <x:c r="C21" s="3" t="str">
        <x:v>大学生新一代信息通信科技大赛</x:v>
      </x:c>
      <x:c r="D21" s="3" t="str">
        <x:v>第十三届邀请通知</x:v>
      </x:c>
      <x:c r="E21" s="3" t="str">
        <x:v>青岛科技大学信息学院</x:v>
      </x:c>
      <x:c r="F21" s="3" t="str">
        <x:v>高校发布</x:v>
      </x:c>
      <x:c r="G21" s="3" t="str">
        <x:v>page_read</x:v>
      </x:c>
      <x:c r="H21" s="3" t="str">
        <x:v>已读来源页面</x:v>
      </x:c>
      <x:c r="I21" s="9" t="str"/>
      <x:c r="J21" s="8" t="e">
        <x:f>HYPERLINK(K21,"打开来源")</x:f>
        <x:v>HYPERLINK is not implemented. linkLocation=https://xk.qust.edu.cn/info/1047/5814.htm, friendlyName=打开来源</x:v>
      </x:c>
      <x:c r="K21" s="3" t="str">
        <x:v>https://xk.qust.edu.cn/info/1047/5814.htm</x:v>
      </x:c>
      <x:c r="L21" s="3" t="str">
        <x:v>包含参赛与课程、练习、开发环境服务说明。</x:v>
      </x:c>
      <x:c r="M21" s="9" t="n">
        <x:v>46298</x:v>
      </x:c>
    </x:row>
    <x:row r="22" ht="44" customHeight="1">
      <x:c r="A22" s="3" t="n">
        <x:v>21</x:v>
      </x:c>
      <x:c r="B22" s="3" t="str">
        <x:v>2026013</x:v>
      </x:c>
      <x:c r="C22" s="3" t="str">
        <x:v>国际大学生智能农业装备创新大赛</x:v>
      </x:c>
      <x:c r="D22" s="3" t="str">
        <x:v>第十二届办赛通知</x:v>
      </x:c>
      <x:c r="E22" s="3" t="str">
        <x:v>国际大学生智能农业装备创新大赛委员会</x:v>
      </x:c>
      <x:c r="F22" s="3" t="str">
        <x:v>官方发布</x:v>
      </x:c>
      <x:c r="G22" s="3" t="str">
        <x:v>search_result</x:v>
      </x:c>
      <x:c r="H22" s="3" t="str">
        <x:v>仅搜索结果，待核对</x:v>
      </x:c>
      <x:c r="I22" s="9" t="n">
        <x:v>46272</x:v>
      </x:c>
      <x:c r="J22" s="8" t="e">
        <x:f>HYPERLINK(K22,"打开来源")</x:f>
        <x:v>HYPERLINK is not implemented. linkLocation=https://uiaec.ujs.edu.cn/news_show.php?id=234, friendlyName=打开来源</x:v>
      </x:c>
      <x:c r="K22" s="3" t="str">
        <x:v>https://uiaec.ujs.edu.cn/news_show.php?id=234</x:v>
      </x:c>
      <x:c r="L22" s="3" t="str">
        <x:v>通知明确跨年度赛程与附件；官方站点直读返回483，仅保存可检索到的官方内容线索。</x:v>
      </x:c>
      <x:c r="M22" s="9" t="n">
        <x:v>46298</x:v>
      </x:c>
    </x:row>
    <x:row r="23" ht="44" customHeight="1">
      <x:c r="A23" s="3" t="n">
        <x:v>22</x:v>
      </x:c>
      <x:c r="B23" s="3" t="str">
        <x:v>2026013</x:v>
      </x:c>
      <x:c r="C23" s="3" t="str">
        <x:v>国际大学生智能农业装备创新大赛</x:v>
      </x:c>
      <x:c r="D23" s="3" t="str">
        <x:v>第十一届决赛通知</x:v>
      </x:c>
      <x:c r="E23" s="3" t="str">
        <x:v>国际大学生智能农业装备创新大赛委员会</x:v>
      </x:c>
      <x:c r="F23" s="3" t="str">
        <x:v>官方发布</x:v>
      </x:c>
      <x:c r="G23" s="3" t="str">
        <x:v>search_result</x:v>
      </x:c>
      <x:c r="H23" s="3" t="str">
        <x:v>仅搜索结果，待核对</x:v>
      </x:c>
      <x:c r="I23" s="9" t="str"/>
      <x:c r="J23" s="8" t="e">
        <x:f>HYPERLINK(K23,"打开来源")</x:f>
        <x:v>HYPERLINK is not implemented. linkLocation=https://uiaec.ujs.edu.cn/news_show.php?id=229, friendlyName=打开来源</x:v>
      </x:c>
      <x:c r="K23" s="3" t="str">
        <x:v>https://uiaec.ujs.edu.cn/news_show.php?id=229</x:v>
      </x:c>
      <x:c r="L23" s="3" t="str">
        <x:v>2026届决赛的展示、材料组织和问辩说明。</x:v>
      </x:c>
      <x:c r="M23" s="9" t="n">
        <x:v>46298</x:v>
      </x:c>
    </x:row>
    <x:row r="24" ht="44" customHeight="1">
      <x:c r="A24" s="3" t="n">
        <x:v>23</x:v>
      </x:c>
      <x:c r="B24" s="3" t="str">
        <x:v>2026014</x:v>
      </x:c>
      <x:c r="C24" s="3" t="str">
        <x:v>华为ICT大赛</x:v>
      </x:c>
      <x:c r="D24" s="3" t="str">
        <x:v>2025—2026全球总决赛专题</x:v>
      </x:c>
      <x:c r="E24" s="3" t="str">
        <x:v>华为</x:v>
      </x:c>
      <x:c r="F24" s="3" t="str">
        <x:v>官方发布</x:v>
      </x:c>
      <x:c r="G24" s="3" t="str">
        <x:v>page_read</x:v>
      </x:c>
      <x:c r="H24" s="3" t="str">
        <x:v>已读来源页面</x:v>
      </x:c>
      <x:c r="I24" s="9" t="str"/>
      <x:c r="J24" s="8" t="e">
        <x:f>HYPERLINK(K24,"打开来源")</x:f>
        <x:v>HYPERLINK is not implemented. linkLocation=https://www.huawei.com/minisite/ict-competition-2025-2026-global/cn/, friendlyName=打开来源</x:v>
      </x:c>
      <x:c r="K24" s="3" t="str">
        <x:v>https://www.huawei.com/minisite/ict-competition-2025-2026-global/cn/</x:v>
      </x:c>
      <x:c r="L24" s="3" t="str">
        <x:v>包含赛道介绍、规则及获奖情况；第十届已收官。</x:v>
      </x:c>
      <x:c r="M24" s="9" t="n">
        <x:v>46298</x:v>
      </x:c>
    </x:row>
    <x:row r="25" ht="44" customHeight="1">
      <x:c r="A25" s="3" t="n">
        <x:v>24</x:v>
      </x:c>
      <x:c r="B25" s="3" t="str">
        <x:v>2026014</x:v>
      </x:c>
      <x:c r="C25" s="3" t="str">
        <x:v>华为ICT大赛</x:v>
      </x:c>
      <x:c r="D25" s="3" t="str">
        <x:v>第十届闭幕新闻</x:v>
      </x:c>
      <x:c r="E25" s="3" t="str">
        <x:v>华为</x:v>
      </x:c>
      <x:c r="F25" s="3" t="str">
        <x:v>官方发布</x:v>
      </x:c>
      <x:c r="G25" s="3" t="str">
        <x:v>search_result</x:v>
      </x:c>
      <x:c r="H25" s="3" t="str">
        <x:v>仅搜索结果，待核对</x:v>
      </x:c>
      <x:c r="I25" s="9" t="n">
        <x:v>46182</x:v>
      </x:c>
      <x:c r="J25" s="8" t="e">
        <x:f>HYPERLINK(K25,"打开来源")</x:f>
        <x:v>HYPERLINK is not implemented. linkLocation=https://www.huawei.com/cn/news/2026/6/ict-competition-global, friendlyName=打开来源</x:v>
      </x:c>
      <x:c r="K25" s="3" t="str">
        <x:v>https://www.huawei.com/cn/news/2026/6/ict-competition-global</x:v>
      </x:c>
      <x:c r="L25" s="3" t="str">
        <x:v>明确第十届全球总决赛于2026年6月闭幕。</x:v>
      </x:c>
      <x:c r="M25" s="9" t="n">
        <x:v>46298</x:v>
      </x:c>
    </x:row>
    <x:row r="26" ht="44" customHeight="1">
      <x:c r="A26" s="3" t="n">
        <x:v>25</x:v>
      </x:c>
      <x:c r="B26" s="3" t="str">
        <x:v>2026015</x:v>
      </x:c>
      <x:c r="C26" s="3" t="str">
        <x:v>全国大学生电子设计竞赛</x:v>
      </x:c>
      <x:c r="D26" s="3" t="str">
        <x:v>2026电子设计竞赛专题赛安排</x:v>
      </x:c>
      <x:c r="E26" s="3" t="str">
        <x:v>全国大学生电子设计竞赛组委会</x:v>
      </x:c>
      <x:c r="F26" s="3" t="str">
        <x:v>官方发布</x:v>
      </x:c>
      <x:c r="G26" s="3" t="str">
        <x:v>search_result</x:v>
      </x:c>
      <x:c r="H26" s="3" t="str">
        <x:v>仅搜索结果，待核对</x:v>
      </x:c>
      <x:c r="I26" s="9" t="str"/>
      <x:c r="J26" s="8" t="e">
        <x:f>HYPERLINK(K26,"打开来源")</x:f>
        <x:v>HYPERLINK is not implemented. linkLocation=https://res.nuedc-training.com.cn/s/pdf/2025/12/04/file202512048402.pdf, friendlyName=打开来源</x:v>
      </x:c>
      <x:c r="K26" s="3" t="str">
        <x:v>https://res.nuedc-training.com.cn/s/pdf/2025/12/04/file202512048402.pdf</x:v>
      </x:c>
      <x:c r="L26" s="3" t="str">
        <x:v>区分嵌入式AI、模拟电子系统和信息科技前沿专题赛。</x:v>
      </x:c>
      <x:c r="M26" s="9" t="n">
        <x:v>46298</x:v>
      </x:c>
    </x:row>
    <x:row r="27" ht="44" customHeight="1">
      <x:c r="A27" s="3" t="n">
        <x:v>26</x:v>
      </x:c>
      <x:c r="B27" s="3" t="str">
        <x:v>2026015</x:v>
      </x:c>
      <x:c r="C27" s="3" t="str">
        <x:v>全国大学生电子设计竞赛</x:v>
      </x:c>
      <x:c r="D27" s="3" t="str">
        <x:v>2026模拟电子系统设计专题赛器件说明</x:v>
      </x:c>
      <x:c r="E27" s="3" t="str">
        <x:v>全国大学生电子设计竞赛培训网</x:v>
      </x:c>
      <x:c r="F27" s="3" t="str">
        <x:v>官方发布</x:v>
      </x:c>
      <x:c r="G27" s="3" t="str">
        <x:v>search_result</x:v>
      </x:c>
      <x:c r="H27" s="3" t="str">
        <x:v>仅搜索结果，待核对</x:v>
      </x:c>
      <x:c r="I27" s="9" t="str"/>
      <x:c r="J27" s="8" t="e">
        <x:f>HYPERLINK(K27,"打开来源")</x:f>
        <x:v>HYPERLINK is not implemented. linkLocation=https://www.nuedc-training.com.cn/index/news/details/new_id/351, friendlyName=打开来源</x:v>
      </x:c>
      <x:c r="K27" s="3" t="str">
        <x:v>https://www.nuedc-training.com.cn/index/news/details/new_id/351</x:v>
      </x:c>
      <x:c r="L27" s="3" t="str">
        <x:v>列明TI处理器平台和赛前熟悉器件的要求。</x:v>
      </x:c>
      <x:c r="M27" s="9" t="n">
        <x:v>46298</x:v>
      </x:c>
    </x:row>
    <x:row r="28" ht="44" customHeight="1">
      <x:c r="A28" s="3" t="n">
        <x:v>27</x:v>
      </x:c>
      <x:c r="B28" s="3" t="str">
        <x:v>2026016</x:v>
      </x:c>
      <x:c r="C28" s="3" t="str">
        <x:v>全国大学生集成电路创新创业大赛</x:v>
      </x:c>
      <x:c r="D28" s="3" t="str">
        <x:v>第十届赛事及企业命题通知列表</x:v>
      </x:c>
      <x:c r="E28" s="3" t="str">
        <x:v>集创赛组委会</x:v>
      </x:c>
      <x:c r="F28" s="3" t="str">
        <x:v>官方发布</x:v>
      </x:c>
      <x:c r="G28" s="3" t="str">
        <x:v>search_result</x:v>
      </x:c>
      <x:c r="H28" s="3" t="str">
        <x:v>仅搜索结果，待核对</x:v>
      </x:c>
      <x:c r="I28" s="9" t="str"/>
      <x:c r="J28" s="8" t="e">
        <x:f>HYPERLINK(K28,"打开来源")</x:f>
        <x:v>HYPERLINK is not implemented. linkLocation=https://univ.ciciec.com/nr.jsp?_np=0_407_1&amp;m31pageno=2, friendlyName=打开来源</x:v>
      </x:c>
      <x:c r="K28" s="3" t="str">
        <x:v>https://univ.ciciec.com/nr.jsp?_np=0_407_1&amp;m31pageno=2</x:v>
      </x:c>
      <x:c r="L28" s="3" t="str">
        <x:v>列表包含年度通知、企业命题及命题更新说明；不能混用职业技能赛道截止时间。</x:v>
      </x:c>
      <x:c r="M28" s="9" t="n">
        <x:v>46298</x:v>
      </x:c>
    </x:row>
    <x:row r="29" ht="44" customHeight="1">
      <x:c r="A29" s="3" t="n">
        <x:v>28</x:v>
      </x:c>
      <x:c r="B29" s="3" t="str">
        <x:v>2026017</x:v>
      </x:c>
      <x:c r="C29" s="3" t="str">
        <x:v>全国大学生嵌入式芯片与系统设计竞赛</x:v>
      </x:c>
      <x:c r="D29" s="3" t="str">
        <x:v>2026应用赛道报名通知</x:v>
      </x:c>
      <x:c r="E29" s="3" t="str">
        <x:v>嵌入式竞赛组委会</x:v>
      </x:c>
      <x:c r="F29" s="3" t="str">
        <x:v>官方发布</x:v>
      </x:c>
      <x:c r="G29" s="3" t="str">
        <x:v>page_read</x:v>
      </x:c>
      <x:c r="H29" s="3" t="str">
        <x:v>已读来源页面</x:v>
      </x:c>
      <x:c r="I29" s="9" t="str"/>
      <x:c r="J29" s="8" t="e">
        <x:f>HYPERLINK(K29,"打开来源")</x:f>
        <x:v>HYPERLINK is not implemented. linkLocation=https://www.socchina.net/details?id=9e287fdec96946ecb378ebe4297db8bb&amp;value=2, friendlyName=打开来源</x:v>
      </x:c>
      <x:c r="K29" s="3" t="str">
        <x:v>https://www.socchina.net/details?id=9e287fdec96946ecb378ebe4297db8bb&amp;value=2</x:v>
      </x:c>
      <x:c r="L29" s="3" t="str">
        <x:v>已定位当届通知；不要按首页过期流程推定赛程。</x:v>
      </x:c>
      <x:c r="M29" s="9" t="n">
        <x:v>46298</x:v>
      </x:c>
    </x:row>
    <x:row r="30" ht="44" customHeight="1">
      <x:c r="A30" s="3" t="n">
        <x:v>29</x:v>
      </x:c>
      <x:c r="B30" s="3" t="str">
        <x:v>2026018</x:v>
      </x:c>
      <x:c r="C30" s="3" t="str">
        <x:v>全国大学生物联网设计竞赛</x:v>
      </x:c>
      <x:c r="D30" s="3" t="str">
        <x:v>2026竞赛通知与赛程文件</x:v>
      </x:c>
      <x:c r="E30" s="3" t="str">
        <x:v>全国大学生物联网设计竞赛组委会</x:v>
      </x:c>
      <x:c r="F30" s="3" t="str">
        <x:v>官方发布</x:v>
      </x:c>
      <x:c r="G30" s="3" t="str">
        <x:v>search_result</x:v>
      </x:c>
      <x:c r="H30" s="3" t="str">
        <x:v>仅搜索结果，待核对</x:v>
      </x:c>
      <x:c r="I30" s="9" t="str"/>
      <x:c r="J30" s="8" t="e">
        <x:f>HYPERLINK(K30,"打开来源")</x:f>
        <x:v>HYPERLINK is not implemented. linkLocation=https://iot.sjtu.edu.cn/ueditor/net/upload/file/20260326/6391013243710844328303068.pdf, friendlyName=打开来源</x:v>
      </x:c>
      <x:c r="K30" s="3" t="str">
        <x:v>https://iot.sjtu.edu.cn/ueditor/net/upload/file/20260326/6391013243710844328303068.pdf</x:v>
      </x:c>
      <x:c r="L30" s="3" t="str">
        <x:v>正式文件说明命题、技术平台与赛事流程；直读403，目前为官方索引证据。</x:v>
      </x:c>
      <x:c r="M30" s="9" t="n">
        <x:v>46298</x:v>
      </x:c>
    </x:row>
    <x:row r="31" ht="44" customHeight="1">
      <x:c r="A31" s="3" t="n">
        <x:v>30</x:v>
      </x:c>
      <x:c r="B31" s="3" t="str">
        <x:v>2026019</x:v>
      </x:c>
      <x:c r="C31" s="3" t="str">
        <x:v>全国大学生智能汽车竞赛</x:v>
      </x:c>
      <x:c r="D31" s="3" t="str">
        <x:v>第二十一届竞赛及规则入口说明</x:v>
      </x:c>
      <x:c r="E31" s="3" t="str">
        <x:v>上海工程技术大学工程训练中心</x:v>
      </x:c>
      <x:c r="F31" s="3" t="str">
        <x:v>高校发布</x:v>
      </x:c>
      <x:c r="G31" s="3" t="str">
        <x:v>page_read</x:v>
      </x:c>
      <x:c r="H31" s="3" t="str">
        <x:v>已读来源页面</x:v>
      </x:c>
      <x:c r="I31" s="9" t="n">
        <x:v>46149</x:v>
      </x:c>
      <x:c r="J31" s="8" t="e">
        <x:f>HYPERLINK(K31,"打开来源")</x:f>
        <x:v>HYPERLINK is not implemented. linkLocation=https://www.sues.edu.cn/85/1b/c26790a296219/page.htm, friendlyName=打开来源</x:v>
      </x:c>
      <x:c r="K31" s="3" t="str">
        <x:v>https://www.sues.edu.cn/85/1b/c26790a296219/page.htm</x:v>
      </x:c>
      <x:c r="L31" s="3" t="str">
        <x:v>明确赛事和第二十一届规则发布链接；校内安排不套用到同济。</x:v>
      </x:c>
      <x:c r="M31" s="9" t="n">
        <x:v>46298</x:v>
      </x:c>
    </x:row>
    <x:row r="32" ht="44" customHeight="1">
      <x:c r="A32" s="3" t="n">
        <x:v>31</x:v>
      </x:c>
      <x:c r="B32" s="3" t="str">
        <x:v>2026020</x:v>
      </x:c>
      <x:c r="C32" s="3" t="str">
        <x:v>全球校园人工智能算法精英大赛</x:v>
      </x:c>
      <x:c r="D32" s="3" t="str">
        <x:v>AI+开源赛题与规则</x:v>
      </x:c>
      <x:c r="E32" s="3" t="str">
        <x:v>AIC大赛组委会</x:v>
      </x:c>
      <x:c r="F32" s="3" t="str">
        <x:v>官方发布</x:v>
      </x:c>
      <x:c r="G32" s="3" t="str">
        <x:v>page_read</x:v>
      </x:c>
      <x:c r="H32" s="3" t="str">
        <x:v>已读来源页面</x:v>
      </x:c>
      <x:c r="I32" s="9" t="n">
        <x:v>46247</x:v>
      </x:c>
      <x:c r="J32" s="8" t="e">
        <x:f>HYPERLINK(K32,"打开来源")</x:f>
        <x:v>HYPERLINK is not implemented. linkLocation=https://www.aicomp.cn/tracks/tracks-5/4924.html, friendlyName=打开来源</x:v>
      </x:c>
      <x:c r="K32" s="3" t="str">
        <x:v>https://www.aicomp.cn/tracks/tracks-5/4924.html</x:v>
      </x:c>
      <x:c r="L32" s="3" t="str">
        <x:v>接受AI应用及开源贡献，要求实质改进；单纯调用接口或界面包装不足。</x:v>
      </x:c>
      <x:c r="M32" s="9" t="n">
        <x:v>46298</x:v>
      </x:c>
    </x:row>
    <x:row r="33" ht="44" customHeight="1">
      <x:c r="A33" s="3" t="n">
        <x:v>32</x:v>
      </x:c>
      <x:c r="B33" s="3" t="str">
        <x:v>2026020</x:v>
      </x:c>
      <x:c r="C33" s="3" t="str">
        <x:v>全球校园人工智能算法精英大赛</x:v>
      </x:c>
      <x:c r="D33" s="3" t="str">
        <x:v>AI+软件创新赛题</x:v>
      </x:c>
      <x:c r="E33" s="3" t="str">
        <x:v>AIC大赛组委会</x:v>
      </x:c>
      <x:c r="F33" s="3" t="str">
        <x:v>官方发布</x:v>
      </x:c>
      <x:c r="G33" s="3" t="str">
        <x:v>page_read</x:v>
      </x:c>
      <x:c r="H33" s="3" t="str">
        <x:v>已读来源页面</x:v>
      </x:c>
      <x:c r="I33" s="9" t="str"/>
      <x:c r="J33" s="8" t="e">
        <x:f>HYPERLINK(K33,"打开来源")</x:f>
        <x:v>HYPERLINK is not implemented. linkLocation=https://www.aicomp.cn/tracks/tracks-2/3792.html, friendlyName=打开来源</x:v>
      </x:c>
      <x:c r="K33" s="3" t="str">
        <x:v>https://www.aicomp.cn/tracks/tracks-2/3792.html</x:v>
      </x:c>
      <x:c r="L33" s="3" t="str">
        <x:v>强调完整软件产品与AI功能结合；与AI+开源单独评审。</x:v>
      </x:c>
      <x:c r="M33" s="9" t="n">
        <x:v>46298</x:v>
      </x:c>
    </x:row>
    <x:row r="34" ht="44" customHeight="1">
      <x:c r="A34" s="3" t="n">
        <x:v>33</x:v>
      </x:c>
      <x:c r="B34" s="3" t="str">
        <x:v>2026021</x:v>
      </x:c>
      <x:c r="C34" s="3" t="str">
        <x:v>睿抗机器人开发者大赛（RAICOM）</x:v>
      </x:c>
      <x:c r="D34" s="3" t="str">
        <x:v>2026赛事与赛道通知</x:v>
      </x:c>
      <x:c r="E34" s="3" t="str">
        <x:v>北京科技大学教务处</x:v>
      </x:c>
      <x:c r="F34" s="3" t="str">
        <x:v>高校发布</x:v>
      </x:c>
      <x:c r="G34" s="3" t="str">
        <x:v>page_read</x:v>
      </x:c>
      <x:c r="H34" s="3" t="str">
        <x:v>已读来源页面</x:v>
      </x:c>
      <x:c r="I34" s="9" t="str"/>
      <x:c r="J34" s="8" t="e">
        <x:f>HYPERLINK(K34,"打开来源")</x:f>
        <x:v>HYPERLINK is not implemented. linkLocation=https://jwc.ustb.edu.cn/tztg/7a4552245dcb452b987023876778037b.htm, friendlyName=打开来源</x:v>
      </x:c>
      <x:c r="K34" s="3" t="str">
        <x:v>https://jwc.ustb.edu.cn/tztg/7a4552245dcb452b987023876778037b.htm</x:v>
      </x:c>
      <x:c r="L34" s="3" t="str">
        <x:v>确认2026赛道和官网，校内报名安排不用于其他高校。</x:v>
      </x:c>
      <x:c r="M34" s="9" t="n">
        <x:v>46298</x:v>
      </x:c>
    </x:row>
    <x:row r="35" ht="44" customHeight="1">
      <x:c r="A35" s="3" t="n">
        <x:v>34</x:v>
      </x:c>
      <x:c r="B35" s="3" t="str">
        <x:v>2026021</x:v>
      </x:c>
      <x:c r="C35" s="3" t="str">
        <x:v>睿抗机器人开发者大赛（RAICOM）</x:v>
      </x:c>
      <x:c r="D35" s="3" t="str">
        <x:v>2026AI视觉应用赛题</x:v>
      </x:c>
      <x:c r="E35" s="3" t="str">
        <x:v>RAICOM组委会</x:v>
      </x:c>
      <x:c r="F35" s="3" t="str">
        <x:v>官方发布</x:v>
      </x:c>
      <x:c r="G35" s="3" t="str">
        <x:v>search_result</x:v>
      </x:c>
      <x:c r="H35" s="3" t="str">
        <x:v>仅搜索结果，待核对</x:v>
      </x:c>
      <x:c r="I35" s="9" t="n">
        <x:v>46154</x:v>
      </x:c>
      <x:c r="J35" s="8" t="e">
        <x:f>HYPERLINK(K35,"打开来源")</x:f>
        <x:v>HYPERLINK is not implemented. linkLocation=https://www.raicom.com.cn/content.html?cid=1684, friendlyName=打开来源</x:v>
      </x:c>
      <x:c r="K35" s="3" t="str">
        <x:v>https://www.raicom.com.cn/content.html?cid=1684</x:v>
      </x:c>
      <x:c r="L35" s="3" t="str">
        <x:v>官方具体赛题页面，提供文档下载入口。</x:v>
      </x:c>
      <x:c r="M35" s="9" t="n">
        <x:v>46298</x:v>
      </x:c>
    </x:row>
    <x:row r="36" ht="44" customHeight="1">
      <x:c r="A36" s="3" t="n">
        <x:v>35</x:v>
      </x:c>
      <x:c r="B36" s="3" t="str">
        <x:v>2026022</x:v>
      </x:c>
      <x:c r="C36" s="3" t="str">
        <x:v>中国高校智能机器人创意大赛</x:v>
      </x:c>
      <x:c r="D36" s="3" t="str">
        <x:v>2026主题一参赛说明</x:v>
      </x:c>
      <x:c r="E36" s="3" t="str">
        <x:v>东北大学秦皇岛分校控制工程学院</x:v>
      </x:c>
      <x:c r="F36" s="3" t="str">
        <x:v>高校发布</x:v>
      </x:c>
      <x:c r="G36" s="3" t="str">
        <x:v>page_read</x:v>
      </x:c>
      <x:c r="H36" s="3" t="str">
        <x:v>已读来源页面</x:v>
      </x:c>
      <x:c r="I36" s="9" t="n">
        <x:v>46087</x:v>
      </x:c>
      <x:c r="J36" s="8" t="e">
        <x:f>HYPERLINK(K36,"打开来源")</x:f>
        <x:v>HYPERLINK is not implemented. linkLocation=https://kzgc.neuq.edu.cn/info/1081/5715.htm, friendlyName=打开来源</x:v>
      </x:c>
      <x:c r="K36" s="3" t="str">
        <x:v>https://kzgc.neuq.edu.cn/info/1081/5715.htm</x:v>
      </x:c>
      <x:c r="L36" s="3" t="str">
        <x:v>可读的主题、作品形式与提交说明；仅针对主题一，包含校内及省赛信息。</x:v>
      </x:c>
      <x:c r="M36" s="9" t="n">
        <x:v>46298</x:v>
      </x:c>
    </x:row>
    <x:row r="37" ht="44" customHeight="1">
      <x:c r="A37" s="3" t="n">
        <x:v>36</x:v>
      </x:c>
      <x:c r="B37" s="3" t="str">
        <x:v>2026022</x:v>
      </x:c>
      <x:c r="C37" s="3" t="str">
        <x:v>中国高校智能机器人创意大赛</x:v>
      </x:c>
      <x:c r="D37" s="3" t="str">
        <x:v>第九届官网与通知入口</x:v>
      </x:c>
      <x:c r="E37" s="3" t="str">
        <x:v>中国高校智能机器人创意大赛组委会</x:v>
      </x:c>
      <x:c r="F37" s="3" t="str">
        <x:v>官方发布</x:v>
      </x:c>
      <x:c r="G37" s="3" t="str">
        <x:v>search_result</x:v>
      </x:c>
      <x:c r="H37" s="3" t="str">
        <x:v>仅搜索结果，待核对</x:v>
      </x:c>
      <x:c r="I37" s="9" t="str"/>
      <x:c r="J37" s="8" t="e">
        <x:f>HYPERLINK(K37,"打开来源")</x:f>
        <x:v>HYPERLINK is not implemented. linkLocation=https://www.robotcontest.cn/home/homepage, friendlyName=打开来源</x:v>
      </x:c>
      <x:c r="K37" s="3" t="str">
        <x:v>https://www.robotcontest.cn/home/homepage</x:v>
      </x:c>
      <x:c r="L37" s="3" t="str">
        <x:v>官方索引列出第九届延期及后续通知；动态页面正文未读取。</x:v>
      </x:c>
      <x:c r="M37" s="9" t="n">
        <x:v>46298</x:v>
      </x:c>
    </x:row>
    <x:row r="38" ht="44" customHeight="1">
      <x:c r="A38" s="3" t="n">
        <x:v>37</x:v>
      </x:c>
      <x:c r="B38" s="3" t="str">
        <x:v>2026023</x:v>
      </x:c>
      <x:c r="C38" s="3" t="str">
        <x:v>中国机器人大赛暨RoboCup机器人世界杯中国赛</x:v>
      </x:c>
      <x:c r="D38" s="3" t="str">
        <x:v>赛事官方通知平台</x:v>
      </x:c>
      <x:c r="E38" s="3" t="str">
        <x:v>中国自动化学会机器人竞赛与培训部</x:v>
      </x:c>
      <x:c r="F38" s="3" t="str">
        <x:v>官方发布</x:v>
      </x:c>
      <x:c r="G38" s="3" t="str">
        <x:v>page_read</x:v>
      </x:c>
      <x:c r="H38" s="3" t="str">
        <x:v>已读来源页面</x:v>
      </x:c>
      <x:c r="I38" s="9" t="str"/>
      <x:c r="J38" s="8" t="e">
        <x:f>HYPERLINK(K38,"打开来源")</x:f>
        <x:v>HYPERLINK is not implemented. linkLocation=https://rcccaa.drct-caa.org.cn/, friendlyName=打开来源</x:v>
      </x:c>
      <x:c r="K38" s="3" t="str">
        <x:v>https://rcccaa.drct-caa.org.cn/</x:v>
      </x:c>
      <x:c r="L38" s="3" t="str">
        <x:v>官方站同时列出2026两个赛区的通知及规则。</x:v>
      </x:c>
      <x:c r="M38" s="9" t="n">
        <x:v>46298</x:v>
      </x:c>
    </x:row>
    <x:row r="39" ht="44" customHeight="1">
      <x:c r="A39" s="3" t="n">
        <x:v>38</x:v>
      </x:c>
      <x:c r="B39" s="3" t="str">
        <x:v>2026024</x:v>
      </x:c>
      <x:c r="C39" s="3" t="str">
        <x:v>中国机器人及人工智能大赛</x:v>
      </x:c>
      <x:c r="D39" s="3" t="str">
        <x:v>第二十八届省级层次选拔赛通知</x:v>
      </x:c>
      <x:c r="E39" s="3" t="str">
        <x:v>中国机器人及人工智能大赛组委会</x:v>
      </x:c>
      <x:c r="F39" s="3" t="str">
        <x:v>官方发布</x:v>
      </x:c>
      <x:c r="G39" s="3" t="str">
        <x:v>page_read</x:v>
      </x:c>
      <x:c r="H39" s="3" t="str">
        <x:v>已读来源页面</x:v>
      </x:c>
      <x:c r="I39" s="9" t="n">
        <x:v>46181</x:v>
      </x:c>
      <x:c r="J39" s="8" t="e">
        <x:f>HYPERLINK(K39,"打开来源")</x:f>
        <x:v>HYPERLINK is not implemented. linkLocation=https://www.caairobot.com/post/notification-shengjicengcixuanbasai-craic2026/, friendlyName=打开来源</x:v>
      </x:c>
      <x:c r="K39" s="3" t="str">
        <x:v>https://www.caairobot.com/post/notification-shengjicengcixuanbasai-craic2026/</x:v>
      </x:c>
      <x:c r="L39" s="3" t="str">
        <x:v>通知公开附件网盘地址，要求参赛队查看各赛项附件。</x:v>
      </x:c>
      <x:c r="M39" s="9" t="n">
        <x:v>46298</x:v>
      </x:c>
    </x:row>
    <x:row r="40" ht="44" customHeight="1">
      <x:c r="A40" s="3" t="n">
        <x:v>39</x:v>
      </x:c>
      <x:c r="B40" s="3" t="str">
        <x:v>2026025</x:v>
      </x:c>
      <x:c r="C40" s="3" t="str">
        <x:v>SAMPE 2026 Student Bridge Contest</x:v>
      </x:c>
      <x:c r="D40" s="3" t="str">
        <x:v>Student Bridge Competition</x:v>
      </x:c>
      <x:c r="E40" s="3" t="str">
        <x:v>SAMPE North America</x:v>
      </x:c>
      <x:c r="F40" s="3" t="str">
        <x:v>官方发布</x:v>
      </x:c>
      <x:c r="G40" s="3" t="str">
        <x:v>page_read</x:v>
      </x:c>
      <x:c r="H40" s="3" t="str">
        <x:v>已读来源页面</x:v>
      </x:c>
      <x:c r="I40" s="9" t="str"/>
      <x:c r="J40" s="8" t="e">
        <x:f>HYPERLINK(K40,"打开来源")</x:f>
        <x:v>HYPERLINK is not implemented. linkLocation=https://www.sampeamerica.org/student-bridge-competition, friendlyName=打开来源</x:v>
      </x:c>
      <x:c r="K40" s="3" t="str">
        <x:v>https://www.sampeamerica.org/student-bridge-competition</x:v>
      </x:c>
      <x:c r="L40" s="3" t="str">
        <x:v>介绍复合材料桥梁竞赛目标，并提供2026规则入口。</x:v>
      </x:c>
      <x:c r="M40" s="9" t="n">
        <x:v>46298</x:v>
      </x:c>
    </x:row>
    <x:row r="41" ht="44" customHeight="1">
      <x:c r="A41" s="3" t="n">
        <x:v>40</x:v>
      </x:c>
      <x:c r="B41" s="3" t="str">
        <x:v>2026026</x:v>
      </x:c>
      <x:c r="C41" s="3" t="str">
        <x:v>第十八届SAMPE国际超轻复合材料桥梁/机翼学生竞赛</x:v>
      </x:c>
      <x:c r="D41" s="3" t="str">
        <x:v>第十八届SAMPE参赛情况</x:v>
      </x:c>
      <x:c r="E41" s="3" t="str">
        <x:v>天津工业大学</x:v>
      </x:c>
      <x:c r="F41" s="3" t="str">
        <x:v>高校发布</x:v>
      </x:c>
      <x:c r="G41" s="3" t="str">
        <x:v>page_read</x:v>
      </x:c>
      <x:c r="H41" s="3" t="str">
        <x:v>已读来源页面</x:v>
      </x:c>
      <x:c r="I41" s="9" t="n">
        <x:v>46188</x:v>
      </x:c>
      <x:c r="J41" s="8" t="e">
        <x:f>HYPERLINK(K41,"打开来源")</x:f>
        <x:v>HYPERLINK is not implemented. linkLocation=https://www.tiangong.edu.cn/2026/0617/c634a115872/pagem.htm, friendlyName=打开来源</x:v>
      </x:c>
      <x:c r="K41" s="3" t="str">
        <x:v>https://www.tiangong.edu.cn/2026/0617/c634a115872/pagem.htm</x:v>
      </x:c>
      <x:c r="L41" s="3" t="str">
        <x:v>2026参赛报道介绍机翼性能和海报评审，确认第十八届赛事已经举行。</x:v>
      </x:c>
      <x:c r="M41" s="9" t="n">
        <x:v>46298</x:v>
      </x:c>
    </x:row>
    <x:row r="42" ht="44" customHeight="1">
      <x:c r="A42" s="3" t="n">
        <x:v>41</x:v>
      </x:c>
      <x:c r="B42" s="3" t="str">
        <x:v>2026027</x:v>
      </x:c>
      <x:c r="C42" s="3" t="str">
        <x:v>全国大学生化工设计竞赛</x:v>
      </x:c>
      <x:c r="D42" s="3" t="str">
        <x:v>全国大学生化工设计竞赛官网</x:v>
      </x:c>
      <x:c r="E42" s="3" t="str">
        <x:v>全国大学生化工设计竞赛委员会／浙江大学</x:v>
      </x:c>
      <x:c r="F42" s="3" t="str">
        <x:v>官方发布</x:v>
      </x:c>
      <x:c r="G42" s="3" t="str">
        <x:v>page_read</x:v>
      </x:c>
      <x:c r="H42" s="3" t="str">
        <x:v>已读来源页面</x:v>
      </x:c>
      <x:c r="I42" s="9" t="str"/>
      <x:c r="J42" s="8" t="e">
        <x:f>HYPERLINK(K42,"打开来源")</x:f>
        <x:v>HYPERLINK is not implemented. linkLocation=https://iche.zju.edu.cn/, friendlyName=打开来源</x:v>
      </x:c>
      <x:c r="K42" s="3" t="str">
        <x:v>https://iche.zju.edu.cn/</x:v>
      </x:c>
      <x:c r="L42" s="3" t="str">
        <x:v>官网提供2026第二十届通知、下载中心、课程入口及总决赛资料；首页1970日期为异常占位，不采信。</x:v>
      </x:c>
      <x:c r="M42" s="9" t="n">
        <x:v>46298</x:v>
      </x:c>
    </x:row>
    <x:row r="43" ht="50" customHeight="1">
      <x:c r="A43" s="3" t="n">
        <x:v>42</x:v>
      </x:c>
      <x:c r="B43" s="3" t="str">
        <x:v>2026028</x:v>
      </x:c>
      <x:c r="C43" s="3" t="str">
        <x:v>全国大学生化工实验大赛</x:v>
      </x:c>
      <x:c r="D43" s="3" t="str">
        <x:v>关于举办第九届全国大学生化工实验大赛的通知</x:v>
      </x:c>
      <x:c r="E43" s="3" t="str">
        <x:v>中国化工教育协会；合肥工业大学公开存档</x:v>
      </x:c>
      <x:c r="F43" s="3" t="str">
        <x:v>高校发布</x:v>
      </x:c>
      <x:c r="G43" s="3" t="str">
        <x:v>page_read</x:v>
      </x:c>
      <x:c r="H43" s="3" t="str">
        <x:v>已读来源页面</x:v>
      </x:c>
      <x:c r="I43" s="9" t="n">
        <x:v>46105</x:v>
      </x:c>
      <x:c r="J43" s="8" t="e">
        <x:f>HYPERLINK(K43,"打开来源")</x:f>
        <x:v>HYPERLINK is not implemented. linkLocation=https://hgxy.hfut.edu.cn/_upload/article/files/2a/a3/90f6475b45d3a88778a739e48679/48601720-aee0-42d4-beb5-535c3023d396.pdf, friendlyName=打开来源</x:v>
      </x:c>
      <x:c r="K43" s="3" t="str">
        <x:v>https://hgxy.hfut.edu.cn/_upload/article/files/2a/a3/90f6475b45d3a88778a739e48679/48601720-aee0-42d4-beb5-535c3023d396.pdf</x:v>
      </x:c>
      <x:c r="L43" s="3" t="str">
        <x:v>已读取协会2026年3月24日原通知，列对象、组队、分赛区和总决赛安排。</x:v>
      </x:c>
      <x:c r="M43" s="9" t="n">
        <x:v>46298</x:v>
      </x:c>
    </x:row>
    <x:row r="44" ht="44" customHeight="1">
      <x:c r="A44" s="3" t="n">
        <x:v>43</x:v>
      </x:c>
      <x:c r="B44" s="3" t="str">
        <x:v>2026029</x:v>
      </x:c>
      <x:c r="C44" s="3" t="str">
        <x:v>上海大学生化学实验竞赛暨实验创新设计竟赛</x:v>
      </x:c>
      <x:c r="D44" s="3" t="str">
        <x:v>第二十届上海大学生化学实验竞赛第二轮通知</x:v>
      </x:c>
      <x:c r="E44" s="3" t="str">
        <x:v>上海大学化学教学实验中心／赛事组委会</x:v>
      </x:c>
      <x:c r="F44" s="3" t="str">
        <x:v>高校发布</x:v>
      </x:c>
      <x:c r="G44" s="3" t="str">
        <x:v>page_read</x:v>
      </x:c>
      <x:c r="H44" s="3" t="str">
        <x:v>已读来源页面</x:v>
      </x:c>
      <x:c r="I44" s="9" t="n">
        <x:v>46151</x:v>
      </x:c>
      <x:c r="J44" s="8" t="e">
        <x:f>HYPERLINK(K44,"打开来源")</x:f>
        <x:v>HYPERLINK is not implemented. linkLocation=https://chemlab.shu.edu.cn/info/1004/4152.htm, friendlyName=打开来源</x:v>
      </x:c>
      <x:c r="K44" s="3" t="str">
        <x:v>https://chemlab.shu.edu.cn/info/1004/4152.htm</x:v>
      </x:c>
      <x:c r="L44" s="3" t="str">
        <x:v>正式通知确认2026第二十届；报名及住宿附件在页面提供。</x:v>
      </x:c>
      <x:c r="M44" s="9" t="n">
        <x:v>46298</x:v>
      </x:c>
    </x:row>
    <x:row r="45" ht="44" customHeight="1">
      <x:c r="A45" s="3" t="n">
        <x:v>44</x:v>
      </x:c>
      <x:c r="B45" s="3" t="str">
        <x:v>2026030</x:v>
      </x:c>
      <x:c r="C45" s="3" t="str">
        <x:v>全国大学生能源经济学术创意大赛</x:v>
      </x:c>
      <x:c r="D45" s="3" t="str">
        <x:v>第十二届全国大学生能源经济学术创意大赛第1号通知</x:v>
      </x:c>
      <x:c r="E45" s="3" t="str">
        <x:v>赛事组委会；中国石油大学公开转载</x:v>
      </x:c>
      <x:c r="F45" s="3" t="str">
        <x:v>高校发布</x:v>
      </x:c>
      <x:c r="G45" s="3" t="str">
        <x:v>page_read</x:v>
      </x:c>
      <x:c r="H45" s="3" t="str">
        <x:v>已读来源页面</x:v>
      </x:c>
      <x:c r="I45" s="9" t="n">
        <x:v>45940</x:v>
      </x:c>
      <x:c r="J45" s="8" t="e">
        <x:f>HYPERLINK(K45,"打开来源")</x:f>
        <x:v>HYPERLINK is not implemented. linkLocation=https://ieep.upc.edu.cn/2025/1010/c15488a473002/page.htm, friendlyName=打开来源</x:v>
      </x:c>
      <x:c r="K45" s="3" t="str">
        <x:v>https://ieep.upc.edu.cn/2025/1010/c15488a473002/page.htm</x:v>
      </x:c>
      <x:c r="L45" s="3" t="str">
        <x:v>正式通知说明主办、比赛层级及创意作品要求，不能将实战赛道与创意作品赛程混用。</x:v>
      </x:c>
      <x:c r="M45" s="9" t="n">
        <x:v>46298</x:v>
      </x:c>
    </x:row>
    <x:row r="46" ht="44" customHeight="1">
      <x:c r="A46" s="3" t="n">
        <x:v>45</x:v>
      </x:c>
      <x:c r="B46" s="3" t="str">
        <x:v>2026031</x:v>
      </x:c>
      <x:c r="C46" s="3" t="str">
        <x:v>全国三维数字化创新设计大赛</x:v>
      </x:c>
      <x:c r="D46" s="3" t="str">
        <x:v>关于举办2026第19届全国3D大赛的通知</x:v>
      </x:c>
      <x:c r="E46" s="3" t="str">
        <x:v>全国三维数字化创新设计大赛组委会</x:v>
      </x:c>
      <x:c r="F46" s="3" t="str">
        <x:v>官方发布</x:v>
      </x:c>
      <x:c r="G46" s="3" t="str">
        <x:v>page_read</x:v>
      </x:c>
      <x:c r="H46" s="3" t="str">
        <x:v>已读来源页面</x:v>
      </x:c>
      <x:c r="I46" s="9" t="str"/>
      <x:c r="J46" s="8" t="e">
        <x:f>HYPERLINK(K46,"打开来源")</x:f>
        <x:v>HYPERLINK is not implemented. linkLocation=https://3dds.3ddl.net/index.php?ctl=Informationlist&amp;id=696&amp;met=details, friendlyName=打开来源</x:v>
      </x:c>
      <x:c r="K46" s="3" t="str">
        <x:v>https://3dds.3ddl.net/index.php?ctl=Informationlist&amp;id=696&amp;met=details</x:v>
      </x:c>
      <x:c r="L46" s="3" t="str">
        <x:v>2026官方总通知，列赛项和分阶段安排。</x:v>
      </x:c>
      <x:c r="M46" s="9" t="n">
        <x:v>46298</x:v>
      </x:c>
    </x:row>
    <x:row r="47" ht="44" customHeight="1">
      <x:c r="A47" s="3" t="n">
        <x:v>46</x:v>
      </x:c>
      <x:c r="B47" s="3" t="str">
        <x:v>2026032</x:v>
      </x:c>
      <x:c r="C47" s="3" t="str">
        <x:v>一带一路暨金砖国家技能发展与技术创新大赛</x:v>
      </x:c>
      <x:c r="D47" s="3" t="str">
        <x:v>2026金砖未来科幻创作创新赛项通知</x:v>
      </x:c>
      <x:c r="E47" s="3" t="str">
        <x:v>电子科技大学数字文化与传媒研究中心（联合承办方）</x:v>
      </x:c>
      <x:c r="F47" s="3" t="str">
        <x:v>高校发布</x:v>
      </x:c>
      <x:c r="G47" s="3" t="str">
        <x:v>page_read</x:v>
      </x:c>
      <x:c r="H47" s="3" t="str">
        <x:v>已读来源页面</x:v>
      </x:c>
      <x:c r="I47" s="9" t="n">
        <x:v>46265</x:v>
      </x:c>
      <x:c r="J47" s="8" t="e">
        <x:f>HYPERLINK(K47,"打开来源")</x:f>
        <x:v>HYPERLINK is not implemented. linkLocation=https://www.cdcm.uestc.edu.cn/info/1055/1865.htm, friendlyName=打开来源</x:v>
      </x:c>
      <x:c r="K47" s="3" t="str">
        <x:v>https://www.cdcm.uestc.edu.cn/info/1055/1865.htm</x:v>
      </x:c>
      <x:c r="L47" s="3" t="str">
        <x:v>公开完整通知，分别说明主、青年创新、数字人文与人工智能赛道。</x:v>
      </x:c>
      <x:c r="M47" s="9" t="n">
        <x:v>46298</x:v>
      </x:c>
    </x:row>
    <x:row r="48" ht="44" customHeight="1">
      <x:c r="A48" s="3" t="n">
        <x:v>47</x:v>
      </x:c>
      <x:c r="B48" s="3" t="str">
        <x:v>2026032</x:v>
      </x:c>
      <x:c r="C48" s="3" t="str">
        <x:v>一带一路暨金砖国家技能发展与技术创新大赛</x:v>
      </x:c>
      <x:c r="D48" s="3" t="str">
        <x:v>2026俄罗斯技术创新国际赛2-R-3号通知</x:v>
      </x:c>
      <x:c r="E48" s="3" t="str">
        <x:v>金砖未来研究院</x:v>
      </x:c>
      <x:c r="F48" s="3" t="str">
        <x:v>官方发布</x:v>
      </x:c>
      <x:c r="G48" s="3" t="str">
        <x:v>search_result</x:v>
      </x:c>
      <x:c r="H48" s="3" t="str">
        <x:v>仅搜索结果，待核对</x:v>
      </x:c>
      <x:c r="I48" s="9" t="n">
        <x:v>46219</x:v>
      </x:c>
      <x:c r="J48" s="8" t="e">
        <x:f>HYPERLINK(K48,"打开来源")</x:f>
        <x:v>HYPERLINK is not implemented. linkLocation=https://www.bricsfuture.org.cn/a/20-348.html, friendlyName=打开来源</x:v>
      </x:c>
      <x:c r="K48" s="3" t="str">
        <x:v>https://www.bricsfuture.org.cn/a/20-348.html</x:v>
      </x:c>
      <x:c r="L48" s="3" t="str">
        <x:v>官方搜索索引显示技术创新赛道及项目材料要求；直连失败，待复核。</x:v>
      </x:c>
      <x:c r="M48" s="9" t="n">
        <x:v>46298</x:v>
      </x:c>
    </x:row>
    <x:row r="49" ht="44" customHeight="1">
      <x:c r="A49" s="3" t="n">
        <x:v>48</x:v>
      </x:c>
      <x:c r="B49" s="3" t="str">
        <x:v>2026033</x:v>
      </x:c>
      <x:c r="C49" s="3" t="str">
        <x:v>第二十五届全国大学生机器人大赛ROBOMASTER</x:v>
      </x:c>
      <x:c r="D49" s="3" t="str">
        <x:v>RoboMaster 2026超级对抗赛介绍与参赛流程</x:v>
      </x:c>
      <x:c r="E49" s="3" t="str">
        <x:v>RoboMaster组委会／大疆</x:v>
      </x:c>
      <x:c r="F49" s="3" t="str">
        <x:v>官方发布</x:v>
      </x:c>
      <x:c r="G49" s="3" t="str">
        <x:v>page_read</x:v>
      </x:c>
      <x:c r="H49" s="3" t="str">
        <x:v>已读来源页面</x:v>
      </x:c>
      <x:c r="I49" s="9" t="str"/>
      <x:c r="J49" s="8" t="e">
        <x:f>HYPERLINK(K49,"打开来源")</x:f>
        <x:v>HYPERLINK is not implemented. linkLocation=https://www.robomaster.com/zh-CN/robo/rm?type=rm-process, friendlyName=打开来源</x:v>
      </x:c>
      <x:c r="K49" s="3" t="str">
        <x:v>https://www.robomaster.com/zh-CN/robo/rm?type=rm-process</x:v>
      </x:c>
      <x:c r="L49" s="3" t="str">
        <x:v>官方说明2026规则概述、资格及资料中心入口。</x:v>
      </x:c>
      <x:c r="M49" s="9" t="n">
        <x:v>46298</x:v>
      </x:c>
    </x:row>
    <x:row r="50" ht="44" customHeight="1">
      <x:c r="A50" s="3" t="n">
        <x:v>49</x:v>
      </x:c>
      <x:c r="B50" s="3" t="str">
        <x:v>2026034</x:v>
      </x:c>
      <x:c r="C50" s="3" t="str">
        <x:v>第十二届全国大学生机械创新设计大赛</x:v>
      </x:c>
      <x:c r="D50" s="3" t="str">
        <x:v>第十二届主题与内容第1号通知</x:v>
      </x:c>
      <x:c r="E50" s="3" t="str">
        <x:v>全国大学生机械创新设计大赛组委会／哈尔滨工业大学</x:v>
      </x:c>
      <x:c r="F50" s="3" t="str">
        <x:v>官方发布</x:v>
      </x:c>
      <x:c r="G50" s="3" t="str">
        <x:v>page_read</x:v>
      </x:c>
      <x:c r="H50" s="3" t="str">
        <x:v>已读来源页面</x:v>
      </x:c>
      <x:c r="I50" s="9" t="n">
        <x:v>45737</x:v>
      </x:c>
      <x:c r="J50" s="8" t="e">
        <x:f>HYPERLINK(K50,"打开来源")</x:f>
        <x:v>HYPERLINK is not implemented. linkLocation=https://12umic.hit.edu.cn/2025/0321/c20012a364782/page.htm, friendlyName=打开来源</x:v>
      </x:c>
      <x:c r="K50" s="3" t="str">
        <x:v>https://12umic.hit.edu.cn/2025/0321/c20012a364782/page.htm</x:v>
      </x:c>
      <x:c r="L50" s="3" t="str">
        <x:v>原文明确两个赛季及主题，不把2027挑战赛当作2026常规赛。</x:v>
      </x:c>
      <x:c r="M50" s="9" t="n">
        <x:v>46298</x:v>
      </x:c>
    </x:row>
    <x:row r="51" ht="44" customHeight="1">
      <x:c r="A51" s="3" t="n">
        <x:v>50</x:v>
      </x:c>
      <x:c r="B51" s="3" t="str">
        <x:v>2026035</x:v>
      </x:c>
      <x:c r="C51" s="3" t="str">
        <x:v>第十九届全国大学生先进成图技术与产品信息建模创新大赛</x:v>
      </x:c>
      <x:c r="D51" s="3" t="str">
        <x:v>第十九届第一轮通知PDF</x:v>
      </x:c>
      <x:c r="E51" s="3" t="str">
        <x:v>全国大学生先进成图大赛组委会；西北农林科技大学存档</x:v>
      </x:c>
      <x:c r="F51" s="3" t="str">
        <x:v>高校发布</x:v>
      </x:c>
      <x:c r="G51" s="3" t="str">
        <x:v>page_read</x:v>
      </x:c>
      <x:c r="H51" s="3" t="str">
        <x:v>已读来源页面</x:v>
      </x:c>
      <x:c r="I51" s="9" t="str"/>
      <x:c r="J51" s="8" t="e">
        <x:f>HYPERLINK(K51,"打开来源")</x:f>
        <x:v>HYPERLINK is not implemented. linkLocation=https://zhxy.nwsuaf.edu.cn/docs/2026-03/771f859d3f8d43e18ae9d8c155891444.pdf, friendlyName=打开来源</x:v>
      </x:c>
      <x:c r="K51" s="3" t="str">
        <x:v>https://zhxy.nwsuaf.edu.cn/docs/2026-03/771f859d3f8d43e18ae9d8c155891444.pdf</x:v>
      </x:c>
      <x:c r="L51" s="3" t="str">
        <x:v>已读组委会原文件；之后赛程有调整，须另核第二轮及后续通知。</x:v>
      </x:c>
      <x:c r="M51" s="9" t="n">
        <x:v>46298</x:v>
      </x:c>
    </x:row>
    <x:row r="52" ht="44" customHeight="1">
      <x:c r="A52" s="3" t="n">
        <x:v>51</x:v>
      </x:c>
      <x:c r="B52" s="3" t="str">
        <x:v>2026036</x:v>
      </x:c>
      <x:c r="C52" s="3" t="str">
        <x:v>全国大学生节能减排社会实践与科技竞赛</x:v>
      </x:c>
      <x:c r="D52" s="3" t="str">
        <x:v>全国大学生节能减排竞赛官网</x:v>
      </x:c>
      <x:c r="E52" s="3" t="str">
        <x:v>竞赛组委会</x:v>
      </x:c>
      <x:c r="F52" s="3" t="str">
        <x:v>官方发布</x:v>
      </x:c>
      <x:c r="G52" s="3" t="str">
        <x:v>page_read</x:v>
      </x:c>
      <x:c r="H52" s="3" t="str">
        <x:v>已读来源页面</x:v>
      </x:c>
      <x:c r="I52" s="9" t="str"/>
      <x:c r="J52" s="8" t="e">
        <x:f>HYPERLINK(K52,"打开来源")</x:f>
        <x:v>HYPERLINK is not implemented. linkLocation=https://www.jienengjianpai.org/, friendlyName=打开来源</x:v>
      </x:c>
      <x:c r="K52" s="3" t="str">
        <x:v>https://www.jienengjianpai.org/</x:v>
      </x:c>
      <x:c r="L52" s="3" t="str">
        <x:v>首页已发布2026年第十九届获奖及证书通知。</x:v>
      </x:c>
      <x:c r="M52" s="9" t="n">
        <x:v>46298</x:v>
      </x:c>
    </x:row>
    <x:row r="53" ht="44" customHeight="1">
      <x:c r="A53" s="3" t="n">
        <x:v>52</x:v>
      </x:c>
      <x:c r="B53" s="3" t="str">
        <x:v>2026037</x:v>
      </x:c>
      <x:c r="C53" s="3" t="str">
        <x:v>中国大学生机械工程创新创意大赛-工业工程与精益管理创新赛</x:v>
      </x:c>
      <x:c r="D53" s="3" t="str">
        <x:v>2026年中国大学生机械工程创新创意大赛赛事公告</x:v>
      </x:c>
      <x:c r="E53" s="3" t="str">
        <x:v>中国机械工程学会</x:v>
      </x:c>
      <x:c r="F53" s="3" t="str">
        <x:v>官方发布</x:v>
      </x:c>
      <x:c r="G53" s="3" t="str">
        <x:v>page_read</x:v>
      </x:c>
      <x:c r="H53" s="3" t="str">
        <x:v>已读来源页面</x:v>
      </x:c>
      <x:c r="I53" s="9" t="n">
        <x:v>46099</x:v>
      </x:c>
      <x:c r="J53" s="8" t="e">
        <x:f>HYPERLINK(K53,"打开来源")</x:f>
        <x:v>HYPERLINK is not implemented. linkLocation=https://www.cmes.org/notice/010c5f85554e440e99d702008b58a26f.html, friendlyName=打开来源</x:v>
      </x:c>
      <x:c r="K53" s="3" t="str">
        <x:v>https://www.cmes.org/notice/010c5f85554e440e99d702008b58a26f.html</x:v>
      </x:c>
      <x:c r="L53" s="3" t="str">
        <x:v>列出本目录对应赛项及其归属；具体题目和要求按实施方案及赛项通知。</x:v>
      </x:c>
      <x:c r="M53" s="9" t="n">
        <x:v>46298</x:v>
      </x:c>
    </x:row>
    <x:row r="54" ht="44" customHeight="1">
      <x:c r="A54" s="3" t="n">
        <x:v>53</x:v>
      </x:c>
      <x:c r="B54" s="3" t="str">
        <x:v>2026037</x:v>
      </x:c>
      <x:c r="C54" s="3" t="str">
        <x:v>中国大学生机械工程创新创意大赛-工业工程与精益管理创新赛</x:v>
      </x:c>
      <x:c r="D54" s="3" t="str">
        <x:v>2026工业工程与精益管理创新赛校赛通知</x:v>
      </x:c>
      <x:c r="E54" s="3" t="str">
        <x:v>上海工程技术大学</x:v>
      </x:c>
      <x:c r="F54" s="3" t="str">
        <x:v>高校发布</x:v>
      </x:c>
      <x:c r="G54" s="3" t="str">
        <x:v>page_read</x:v>
      </x:c>
      <x:c r="H54" s="3" t="str">
        <x:v>已读来源页面</x:v>
      </x:c>
      <x:c r="I54" s="9" t="n">
        <x:v>46181</x:v>
      </x:c>
      <x:c r="J54" s="8" t="e">
        <x:f>HYPERLINK(K54,"打开来源")</x:f>
        <x:v>HYPERLINK is not implemented. linkLocation=https://www.sues.edu.cn/8a/36/c26790a297526/page.htm, friendlyName=打开来源</x:v>
      </x:c>
      <x:c r="K54" s="3" t="str">
        <x:v>https://www.sues.edu.cn/8a/36/c26790a297526/page.htm</x:v>
      </x:c>
      <x:c r="L54" s="3" t="str">
        <x:v>提供年度主题、作品要求和评价维度；校内安排不作为同济或全国截止。</x:v>
      </x:c>
      <x:c r="M54" s="9" t="n">
        <x:v>46298</x:v>
      </x:c>
    </x:row>
    <x:row r="55" ht="44" customHeight="1">
      <x:c r="A55" s="3" t="n">
        <x:v>54</x:v>
      </x:c>
      <x:c r="B55" s="3" t="str">
        <x:v>2026038</x:v>
      </x:c>
      <x:c r="C55" s="3" t="str">
        <x:v>中国大学生机械工程创新创意大赛-机械产品数字化设计赛</x:v>
      </x:c>
      <x:c r="D55" s="3" t="str">
        <x:v>2026年中国大学生机械工程创新创意大赛赛事公告</x:v>
      </x:c>
      <x:c r="E55" s="3" t="str">
        <x:v>中国机械工程学会</x:v>
      </x:c>
      <x:c r="F55" s="3" t="str">
        <x:v>官方发布</x:v>
      </x:c>
      <x:c r="G55" s="3" t="str">
        <x:v>page_read</x:v>
      </x:c>
      <x:c r="H55" s="3" t="str">
        <x:v>已读来源页面</x:v>
      </x:c>
      <x:c r="I55" s="9" t="n">
        <x:v>46099</x:v>
      </x:c>
      <x:c r="J55" s="8" t="e">
        <x:f>HYPERLINK(K55,"打开来源")</x:f>
        <x:v>HYPERLINK is not implemented. linkLocation=https://www.cmes.org/notice/010c5f85554e440e99d702008b58a26f.html, friendlyName=打开来源</x:v>
      </x:c>
      <x:c r="K55" s="3" t="str">
        <x:v>https://www.cmes.org/notice/010c5f85554e440e99d702008b58a26f.html</x:v>
      </x:c>
      <x:c r="L55" s="3" t="str">
        <x:v>列出本目录对应赛项及其归属；具体题目和要求按实施方案及赛项通知。</x:v>
      </x:c>
      <x:c r="M55" s="9" t="n">
        <x:v>46298</x:v>
      </x:c>
    </x:row>
    <x:row r="56" ht="44" customHeight="1">
      <x:c r="A56" s="3" t="n">
        <x:v>55</x:v>
      </x:c>
      <x:c r="B56" s="3" t="str">
        <x:v>2026038</x:v>
      </x:c>
      <x:c r="C56" s="3" t="str">
        <x:v>中国大学生机械工程创新创意大赛-机械产品数字化设计赛</x:v>
      </x:c>
      <x:c r="D56" s="3" t="str">
        <x:v>2026机械产品数字化设计赛通知及全国附件</x:v>
      </x:c>
      <x:c r="E56" s="3" t="str">
        <x:v>中国石油大学（华东）</x:v>
      </x:c>
      <x:c r="F56" s="3" t="str">
        <x:v>高校发布</x:v>
      </x:c>
      <x:c r="G56" s="3" t="str">
        <x:v>page_read</x:v>
      </x:c>
      <x:c r="H56" s="3" t="str">
        <x:v>已读来源页面</x:v>
      </x:c>
      <x:c r="I56" s="9" t="n">
        <x:v>46124</x:v>
      </x:c>
      <x:c r="J56" s="8" t="e">
        <x:f>HYPERLINK(K56,"打开来源")</x:f>
        <x:v>HYPERLINK is not implemented. linkLocation=https://cmee.upc.edu.cn/2026/0412/c21211a487505/page.htm, friendlyName=打开来源</x:v>
      </x:c>
      <x:c r="K56" s="3" t="str">
        <x:v>https://cmee.upc.edu.cn/2026/0412/c21211a487505/page.htm</x:v>
      </x:c>
      <x:c r="L56" s="3" t="str">
        <x:v>高校公开转发全国赛事公告与华东区域公告，明确两个类别。</x:v>
      </x:c>
      <x:c r="M56" s="9" t="n">
        <x:v>46298</x:v>
      </x:c>
    </x:row>
    <x:row r="57" ht="44" customHeight="1">
      <x:c r="A57" s="3" t="n">
        <x:v>56</x:v>
      </x:c>
      <x:c r="B57" s="3" t="str">
        <x:v>2026039</x:v>
      </x:c>
      <x:c r="C57" s="3" t="str">
        <x:v>中国大学生机械工程创新创意大赛-物流技术创意赛</x:v>
      </x:c>
      <x:c r="D57" s="3" t="str">
        <x:v>2026年中国大学生机械工程创新创意大赛赛事公告</x:v>
      </x:c>
      <x:c r="E57" s="3" t="str">
        <x:v>中国机械工程学会</x:v>
      </x:c>
      <x:c r="F57" s="3" t="str">
        <x:v>官方发布</x:v>
      </x:c>
      <x:c r="G57" s="3" t="str">
        <x:v>page_read</x:v>
      </x:c>
      <x:c r="H57" s="3" t="str">
        <x:v>已读来源页面</x:v>
      </x:c>
      <x:c r="I57" s="9" t="n">
        <x:v>46099</x:v>
      </x:c>
      <x:c r="J57" s="8" t="e">
        <x:f>HYPERLINK(K57,"打开来源")</x:f>
        <x:v>HYPERLINK is not implemented. linkLocation=https://www.cmes.org/notice/010c5f85554e440e99d702008b58a26f.html, friendlyName=打开来源</x:v>
      </x:c>
      <x:c r="K57" s="3" t="str">
        <x:v>https://www.cmes.org/notice/010c5f85554e440e99d702008b58a26f.html</x:v>
      </x:c>
      <x:c r="L57" s="3" t="str">
        <x:v>列出本目录对应赛项及其归属；具体题目和要求按实施方案及赛项通知。</x:v>
      </x:c>
      <x:c r="M57" s="9" t="n">
        <x:v>46298</x:v>
      </x:c>
    </x:row>
    <x:row r="58" ht="44" customHeight="1">
      <x:c r="A58" s="3" t="n">
        <x:v>57</x:v>
      </x:c>
      <x:c r="B58" s="3" t="str">
        <x:v>2026039</x:v>
      </x:c>
      <x:c r="C58" s="3" t="str">
        <x:v>中国大学生机械工程创新创意大赛-物流技术创意赛</x:v>
      </x:c>
      <x:c r="D58" s="3" t="str">
        <x:v>2026物流技术创意赛任务说明</x:v>
      </x:c>
      <x:c r="E58" s="3" t="str">
        <x:v>燕山大学</x:v>
      </x:c>
      <x:c r="F58" s="3" t="str">
        <x:v>高校发布</x:v>
      </x:c>
      <x:c r="G58" s="3" t="str">
        <x:v>page_read</x:v>
      </x:c>
      <x:c r="H58" s="3" t="str">
        <x:v>已读来源页面</x:v>
      </x:c>
      <x:c r="I58" s="9" t="n">
        <x:v>46202</x:v>
      </x:c>
      <x:c r="J58" s="8" t="e">
        <x:f>HYPERLINK(K58,"打开来源")</x:f>
        <x:v>HYPERLINK is not implemented. linkLocation=https://notice.ysu.edu.cn/info/2264/25623.htm, friendlyName=打开来源</x:v>
      </x:c>
      <x:c r="K58" s="3" t="str">
        <x:v>https://notice.ysu.edu.cn/info/2264/25623.htm</x:v>
      </x:c>
      <x:c r="L58" s="3" t="str">
        <x:v>公开2026散料搬运机器人任务和全程自主运行要求，并提供实施方案附件。</x:v>
      </x:c>
      <x:c r="M58" s="9" t="n">
        <x:v>46298</x:v>
      </x:c>
    </x:row>
    <x:row r="59" ht="44" customHeight="1">
      <x:c r="A59" s="3" t="n">
        <x:v>58</x:v>
      </x:c>
      <x:c r="B59" s="3" t="str">
        <x:v>2026040</x:v>
      </x:c>
      <x:c r="C59" s="3" t="str">
        <x:v>“中国软件杯”大学生软件设计大赛</x:v>
      </x:c>
      <x:c r="D59" s="3" t="str">
        <x:v>第十五届中国软件杯A8官方合作方专区</x:v>
      </x:c>
      <x:c r="E59" s="3" t="str">
        <x:v>同元软控MoHub</x:v>
      </x:c>
      <x:c r="F59" s="3" t="str">
        <x:v>官方发布</x:v>
      </x:c>
      <x:c r="G59" s="3" t="str">
        <x:v>page_read</x:v>
      </x:c>
      <x:c r="H59" s="3" t="str">
        <x:v>已读来源页面</x:v>
      </x:c>
      <x:c r="I59" s="9" t="str"/>
      <x:c r="J59" s="8" t="e">
        <x:f>HYPERLINK(K59,"打开来源")</x:f>
        <x:v>HYPERLINK is not implemented. linkLocation=https://mohub.net/competition/5/detail, friendlyName=打开来源</x:v>
      </x:c>
      <x:c r="K59" s="3" t="str">
        <x:v>https://mohub.net/competition/5/detail</x:v>
      </x:c>
      <x:c r="L59" s="3" t="str">
        <x:v>提供2026A8题说明、主办赛事题页链接、培训和模型入口。</x:v>
      </x:c>
      <x:c r="M59" s="9" t="n">
        <x:v>46298</x:v>
      </x:c>
    </x:row>
    <x:row r="60" ht="44" customHeight="1">
      <x:c r="A60" s="3" t="n">
        <x:v>59</x:v>
      </x:c>
      <x:c r="B60" s="3" t="str">
        <x:v>2026041</x:v>
      </x:c>
      <x:c r="C60" s="3" t="str">
        <x:v>ACM-ICPC国际大学生程序设计竞赛</x:v>
      </x:c>
      <x:c r="D60" s="3" t="str">
        <x:v>2026 ICPC Asia EC网络预选赛报名通知</x:v>
      </x:c>
      <x:c r="E60" s="3" t="str">
        <x:v>ICPC北京总部／北京大学</x:v>
      </x:c>
      <x:c r="F60" s="3" t="str">
        <x:v>官方发布</x:v>
      </x:c>
      <x:c r="G60" s="3" t="str">
        <x:v>page_read</x:v>
      </x:c>
      <x:c r="H60" s="3" t="str">
        <x:v>已读来源页面</x:v>
      </x:c>
      <x:c r="I60" s="9" t="n">
        <x:v>46244</x:v>
      </x:c>
      <x:c r="J60" s="8" t="e">
        <x:f>HYPERLINK(K60,"打开来源")</x:f>
        <x:v>HYPERLINK is not implemented. linkLocation=https://icpc.pku.edu.cn/tzgg/12450f30353743ccaa302be16a7a1d85.htm, friendlyName=打开来源</x:v>
      </x:c>
      <x:c r="K60" s="3" t="str">
        <x:v>https://icpc.pku.edu.cn/tzgg/12450f30353743ccaa302be16a7a1d85.htm</x:v>
      </x:c>
      <x:c r="L60" s="3" t="str">
        <x:v>说明网络预选与区域入围关系、组织方式及平台。</x:v>
      </x:c>
      <x:c r="M60" s="9" t="n">
        <x:v>46298</x:v>
      </x:c>
    </x:row>
    <x:row r="61" ht="44" customHeight="1">
      <x:c r="A61" s="3" t="n">
        <x:v>60</x:v>
      </x:c>
      <x:c r="B61" s="3" t="str">
        <x:v>2026041</x:v>
      </x:c>
      <x:c r="C61" s="3" t="str">
        <x:v>ACM-ICPC国际大学生程序设计竞赛</x:v>
      </x:c>
      <x:c r="D61" s="3" t="str">
        <x:v>ICPC北京总部公告</x:v>
      </x:c>
      <x:c r="E61" s="3" t="str">
        <x:v>ICPC北京总部</x:v>
      </x:c>
      <x:c r="F61" s="3" t="str">
        <x:v>官方发布</x:v>
      </x:c>
      <x:c r="G61" s="3" t="str">
        <x:v>page_read</x:v>
      </x:c>
      <x:c r="H61" s="3" t="str">
        <x:v>已读来源页面</x:v>
      </x:c>
      <x:c r="I61" s="9" t="str"/>
      <x:c r="J61" s="8" t="e">
        <x:f>HYPERLINK(K61,"打开来源")</x:f>
        <x:v>HYPERLINK is not implemented. linkLocation=https://icpc.pku.edu.cn/tzgg/, friendlyName=打开来源</x:v>
      </x:c>
      <x:c r="K61" s="3" t="str">
        <x:v>https://icpc.pku.edu.cn/tzgg/</x:v>
      </x:c>
      <x:c r="L61" s="3" t="str">
        <x:v>已列出第51届多个区域站邀请函和名额说明。</x:v>
      </x:c>
      <x:c r="M61" s="9" t="n">
        <x:v>46298</x:v>
      </x:c>
    </x:row>
    <x:row r="62" ht="44" customHeight="1">
      <x:c r="A62" s="3" t="n">
        <x:v>61</x:v>
      </x:c>
      <x:c r="B62" s="3" t="str">
        <x:v>2026042</x:v>
      </x:c>
      <x:c r="C62" s="3" t="str">
        <x:v>百度之星·程序设计大赛</x:v>
      </x:c>
      <x:c r="D62" s="3" t="str">
        <x:v>2026第二十二届百度之星程序设计大赛通知</x:v>
      </x:c>
      <x:c r="E62" s="3" t="str">
        <x:v>云南大学本科生院</x:v>
      </x:c>
      <x:c r="F62" s="3" t="str">
        <x:v>高校发布</x:v>
      </x:c>
      <x:c r="G62" s="3" t="str">
        <x:v>page_read</x:v>
      </x:c>
      <x:c r="H62" s="3" t="str">
        <x:v>已读来源页面</x:v>
      </x:c>
      <x:c r="I62" s="9" t="n">
        <x:v>46221</x:v>
      </x:c>
      <x:c r="J62" s="8" t="e">
        <x:f>HYPERLINK(K62,"打开来源")</x:f>
        <x:v>HYPERLINK is not implemented. linkLocation=https://jwc.ynu.edu.cn/info/1009/4331.htm, friendlyName=打开来源</x:v>
      </x:c>
      <x:c r="K62" s="3" t="str">
        <x:v>https://jwc.ynu.edu.cn/info/1009/4331.htm</x:v>
      </x:c>
      <x:c r="L62" s="3" t="str">
        <x:v>公开赛事内容及主办官网，并明确给出含往届真题的练习入口。</x:v>
      </x:c>
      <x:c r="M62" s="9" t="n">
        <x:v>46298</x:v>
      </x:c>
    </x:row>
    <x:row r="63" ht="44" customHeight="1">
      <x:c r="A63" s="3" t="n">
        <x:v>62</x:v>
      </x:c>
      <x:c r="B63" s="3" t="str">
        <x:v>2026043</x:v>
      </x:c>
      <x:c r="C63" s="3" t="str">
        <x:v>全国大学生计算机系统能力大赛</x:v>
      </x:c>
      <x:c r="D63" s="3" t="str">
        <x:v>全国大学生操作系统比赛官方协作仓库</x:v>
      </x:c>
      <x:c r="E63" s="3" t="str">
        <x:v>操作系统赛组委会／oscomp</x:v>
      </x:c>
      <x:c r="F63" s="3" t="str">
        <x:v>官方发布</x:v>
      </x:c>
      <x:c r="G63" s="3" t="str">
        <x:v>page_read</x:v>
      </x:c>
      <x:c r="H63" s="3" t="str">
        <x:v>已读来源页面</x:v>
      </x:c>
      <x:c r="I63" s="9" t="str"/>
      <x:c r="J63" s="8" t="e">
        <x:f>HYPERLINK(K63,"打开来源")</x:f>
        <x:v>HYPERLINK is not implemented. linkLocation=https://github.com/oscomp, friendlyName=打开来源</x:v>
      </x:c>
      <x:c r="K63" s="3" t="str">
        <x:v>https://github.com/oscomp</x:v>
      </x:c>
      <x:c r="L63" s="3" t="str">
        <x:v>组织页标明所属大赛、2026筹备信息及往届题目、参考资料和获奖代码。</x:v>
      </x:c>
      <x:c r="M63" s="9" t="n">
        <x:v>46298</x:v>
      </x:c>
    </x:row>
    <x:row r="64" ht="44" customHeight="1">
      <x:c r="A64" s="3" t="n">
        <x:v>63</x:v>
      </x:c>
      <x:c r="B64" s="3" t="str">
        <x:v>2026043</x:v>
      </x:c>
      <x:c r="C64" s="3" t="str">
        <x:v>全国大学生计算机系统能力大赛</x:v>
      </x:c>
      <x:c r="D64" s="3" t="str">
        <x:v>2026 CPU设计赛（龙芯杯）官网</x:v>
      </x:c>
      <x:c r="E64" s="3" t="str">
        <x:v>CPU设计赛组委会</x:v>
      </x:c>
      <x:c r="F64" s="3" t="str">
        <x:v>官方发布</x:v>
      </x:c>
      <x:c r="G64" s="3" t="str">
        <x:v>official_index</x:v>
      </x:c>
      <x:c r="H64" s="3" t="str">
        <x:v>已确认索引或入口</x:v>
      </x:c>
      <x:c r="I64" s="9" t="str"/>
      <x:c r="J64" s="8" t="e">
        <x:f>HYPERLINK(K64,"打开来源")</x:f>
        <x:v>HYPERLINK is not implemented. linkLocation=https://www.nscscc.com/, friendlyName=打开来源</x:v>
      </x:c>
      <x:c r="K64" s="3" t="str">
        <x:v>https://www.nscscc.com/</x:v>
      </x:c>
      <x:c r="L64" s="3" t="str">
        <x:v>页面标题确认为2026 CPU设计赛，后续访问有超时；不据此填写细则。</x:v>
      </x:c>
      <x:c r="M64" s="9" t="n">
        <x:v>46298</x:v>
      </x:c>
    </x:row>
    <x:row r="65" ht="44" customHeight="1">
      <x:c r="A65" s="3" t="n">
        <x:v>64</x:v>
      </x:c>
      <x:c r="B65" s="3" t="str">
        <x:v>2026044</x:v>
      </x:c>
      <x:c r="C65" s="3" t="str">
        <x:v>全国大学生信息安全竞赛</x:v>
      </x:c>
      <x:c r="D65" s="3" t="str">
        <x:v>第十九届信息安全竞赛官方公告索引</x:v>
      </x:c>
      <x:c r="E65" s="3" t="str">
        <x:v>全国大学生信息安全竞赛组委会</x:v>
      </x:c>
      <x:c r="F65" s="3" t="str">
        <x:v>官方发布</x:v>
      </x:c>
      <x:c r="G65" s="3" t="str">
        <x:v>search_result</x:v>
      </x:c>
      <x:c r="H65" s="3" t="str">
        <x:v>仅搜索结果，待核对</x:v>
      </x:c>
      <x:c r="I65" s="9" t="str"/>
      <x:c r="J65" s="8" t="e">
        <x:f>HYPERLINK(K65,"打开来源")</x:f>
        <x:v>HYPERLINK is not implemented. linkLocation=https://www.ciscn.cn/index.php/announcement?page=2, friendlyName=打开来源</x:v>
      </x:c>
      <x:c r="K65" s="3" t="str">
        <x:v>https://www.ciscn.cn/index.php/announcement?page=2</x:v>
      </x:c>
      <x:c r="L65" s="3" t="str">
        <x:v>搜索索引列出2026作品赛通知、命题及作品报告附件；直连超时。</x:v>
      </x:c>
      <x:c r="M65" s="9" t="n">
        <x:v>46298</x:v>
      </x:c>
    </x:row>
    <x:row r="66" ht="44" customHeight="1">
      <x:c r="A66" s="3" t="n">
        <x:v>65</x:v>
      </x:c>
      <x:c r="B66" s="3" t="str">
        <x:v>2026044</x:v>
      </x:c>
      <x:c r="C66" s="3" t="str">
        <x:v>全国大学生信息安全竞赛</x:v>
      </x:c>
      <x:c r="D66" s="3" t="str">
        <x:v>2026信息安全作品赛选拔通知</x:v>
      </x:c>
      <x:c r="E66" s="3" t="str">
        <x:v>西安邮电大学</x:v>
      </x:c>
      <x:c r="F66" s="3" t="str">
        <x:v>高校发布</x:v>
      </x:c>
      <x:c r="G66" s="3" t="str">
        <x:v>page_read</x:v>
      </x:c>
      <x:c r="H66" s="3" t="str">
        <x:v>已读来源页面</x:v>
      </x:c>
      <x:c r="I66" s="9" t="n">
        <x:v>46178</x:v>
      </x:c>
      <x:c r="J66" s="8" t="e">
        <x:f>HYPERLINK(K66,"打开来源")</x:f>
        <x:v>HYPERLINK is not implemented. linkLocation=https://www.xupt.edu.cn/info/2104/86427.htm, friendlyName=打开来源</x:v>
      </x:c>
      <x:c r="K66" s="3" t="str">
        <x:v>https://www.xupt.edu.cn/info/2104/86427.htm</x:v>
      </x:c>
      <x:c r="L66" s="3" t="str">
        <x:v>公开自由作品与命题挑战的范围及附件入口；校内报名和选拔时间仅适用西邮。</x:v>
      </x:c>
      <x:c r="M66" s="9" t="n">
        <x:v>46298</x:v>
      </x:c>
    </x:row>
    <x:row r="67" ht="44" customHeight="1">
      <x:c r="A67" s="3" t="n">
        <x:v>66</x:v>
      </x:c>
      <x:c r="B67" s="3" t="str">
        <x:v>2026045</x:v>
      </x:c>
      <x:c r="C67" s="3" t="str">
        <x:v>全国大学生信息安全与对抗技术竞赛</x:v>
      </x:c>
      <x:c r="D67" s="3" t="str">
        <x:v>ISCC2026线上挑战赛更新通知</x:v>
      </x:c>
      <x:c r="E67" s="3" t="str">
        <x:v>北京理工大学信息系统及安全对抗实验中心</x:v>
      </x:c>
      <x:c r="F67" s="3" t="str">
        <x:v>官方发布</x:v>
      </x:c>
      <x:c r="G67" s="3" t="str">
        <x:v>page_read</x:v>
      </x:c>
      <x:c r="H67" s="3" t="str">
        <x:v>已读来源页面</x:v>
      </x:c>
      <x:c r="I67" s="9" t="n">
        <x:v>46133</x:v>
      </x:c>
      <x:c r="J67" s="8" t="e">
        <x:f>HYPERLINK(K67,"打开来源")</x:f>
        <x:v>HYPERLINK is not implemented. linkLocation=https://www.isclab.org.cn/2026/04/21/2026年第23届信息安全与对抗技术竞赛通知【更新版】/, friendlyName=打开来源</x:v>
      </x:c>
      <x:c r="K67" s="3" t="str">
        <x:v>https://www.isclab.org.cn/2026/04/21/2026年第23届信息安全与对抗技术竞赛通知【更新版】/</x:v>
      </x:c>
      <x:c r="L67" s="3" t="str">
        <x:v>提供区域赛划分及分区域通知、竞赛细则附件。</x:v>
      </x:c>
      <x:c r="M67" s="9" t="n">
        <x:v>46298</x:v>
      </x:c>
    </x:row>
    <x:row r="68" ht="44" customHeight="1">
      <x:c r="A68" s="3" t="n">
        <x:v>67</x:v>
      </x:c>
      <x:c r="B68" s="3" t="str">
        <x:v>2026046</x:v>
      </x:c>
      <x:c r="C68" s="3" t="str">
        <x:v>中国大学生服务外包创新创业大赛</x:v>
      </x:c>
      <x:c r="D68" s="3" t="str">
        <x:v>第十七届服创大赛官方门户</x:v>
      </x:c>
      <x:c r="E68" s="3" t="str">
        <x:v>服创大赛组委会</x:v>
      </x:c>
      <x:c r="F68" s="3" t="str">
        <x:v>官方发布</x:v>
      </x:c>
      <x:c r="G68" s="3" t="str">
        <x:v>page_read</x:v>
      </x:c>
      <x:c r="H68" s="3" t="str">
        <x:v>已读来源页面</x:v>
      </x:c>
      <x:c r="I68" s="9" t="str"/>
      <x:c r="J68" s="8" t="e">
        <x:f>HYPERLINK(K68,"打开来源")</x:f>
        <x:v>HYPERLINK is not implemented. linkLocation=https://www.fwwb.org.cn/, friendlyName=打开来源</x:v>
      </x:c>
      <x:c r="K68" s="3" t="str">
        <x:v>https://www.fwwb.org.cn/</x:v>
      </x:c>
      <x:c r="L68" s="3" t="str">
        <x:v>官网已列2026年8月全国赛获奖公告及本届赛题。</x:v>
      </x:c>
      <x:c r="M68" s="9" t="n">
        <x:v>46298</x:v>
      </x:c>
    </x:row>
    <x:row r="69" ht="44" customHeight="1">
      <x:c r="A69" s="3" t="n">
        <x:v>68</x:v>
      </x:c>
      <x:c r="B69" s="3" t="str">
        <x:v>2026047</x:v>
      </x:c>
      <x:c r="C69" s="3" t="str">
        <x:v>中国大学生计算机设计大赛</x:v>
      </x:c>
      <x:c r="D69" s="3" t="str">
        <x:v>2026中国大学生计算机设计大赛参赛要求</x:v>
      </x:c>
      <x:c r="E69" s="3" t="str">
        <x:v>中国大学生计算机设计大赛组委会</x:v>
      </x:c>
      <x:c r="F69" s="3" t="str">
        <x:v>官方发布</x:v>
      </x:c>
      <x:c r="G69" s="3" t="str">
        <x:v>page_read</x:v>
      </x:c>
      <x:c r="H69" s="3" t="str">
        <x:v>已读来源页面</x:v>
      </x:c>
      <x:c r="I69" s="9" t="str"/>
      <x:c r="J69" s="8" t="e">
        <x:f>HYPERLINK(K69,"打开来源")</x:f>
        <x:v>HYPERLINK is not implemented. linkLocation=https://jsjds.blcu.edu.cn/gyds1/csyq.htm, friendlyName=打开来源</x:v>
      </x:c>
      <x:c r="K69" s="3" t="str">
        <x:v>https://jsjds.blcu.edu.cn/gyds1/csyq.htm</x:v>
      </x:c>
      <x:c r="L69" s="3" t="str">
        <x:v>说明本科生资格、作品原创周期、组队人数及校省国三级赛制。</x:v>
      </x:c>
      <x:c r="M69" s="9" t="n">
        <x:v>46298</x:v>
      </x:c>
    </x:row>
    <x:row r="70" ht="44" customHeight="1">
      <x:c r="A70" s="3" t="n">
        <x:v>69</x:v>
      </x:c>
      <x:c r="B70" s="3" t="str">
        <x:v>2026048</x:v>
      </x:c>
      <x:c r="C70" s="3" t="str">
        <x:v>中国高校计算机大赛</x:v>
      </x:c>
      <x:c r="D70" s="3" t="str">
        <x:v>2026中国高校计算机大赛校内组织通知</x:v>
      </x:c>
      <x:c r="E70" s="3" t="str">
        <x:v>上海海事大学基础实验实训中心</x:v>
      </x:c>
      <x:c r="F70" s="3" t="str">
        <x:v>高校发布</x:v>
      </x:c>
      <x:c r="G70" s="3" t="str">
        <x:v>page_read</x:v>
      </x:c>
      <x:c r="H70" s="3" t="str">
        <x:v>已读来源页面</x:v>
      </x:c>
      <x:c r="I70" s="9" t="n">
        <x:v>46132</x:v>
      </x:c>
      <x:c r="J70" s="8" t="e">
        <x:f>HYPERLINK(K70,"打开来源")</x:f>
        <x:v>HYPERLINK is not implemented. linkLocation=https://jcsysx.shmtu.edu.cn/2026/0420/c12467a290204/page.htm, friendlyName=打开来源</x:v>
      </x:c>
      <x:c r="K70" s="3" t="str">
        <x:v>https://jcsysx.shmtu.edu.cn/2026/0420/c12467a290204/page.htm</x:v>
      </x:c>
      <x:c r="L70" s="3" t="str">
        <x:v>列出C4八类赛项并给出总入口，校内规则不能替代同济或全国规定。</x:v>
      </x:c>
      <x:c r="M70" s="9" t="n">
        <x:v>46298</x:v>
      </x:c>
    </x:row>
    <x:row r="71" ht="44" customHeight="1">
      <x:c r="A71" s="3" t="n">
        <x:v>70</x:v>
      </x:c>
      <x:c r="B71" s="3" t="str">
        <x:v>2026049</x:v>
      </x:c>
      <x:c r="C71" s="3" t="str">
        <x:v>2026同济大学国际建造节</x:v>
      </x:c>
      <x:c r="D71" s="3" t="str">
        <x:v>2026同济大学国际建造节启动通知</x:v>
      </x:c>
      <x:c r="E71" s="3" t="str">
        <x:v>同济大学建筑与城市规划学院</x:v>
      </x:c>
      <x:c r="F71" s="3" t="str">
        <x:v>高校发布</x:v>
      </x:c>
      <x:c r="G71" s="3" t="str">
        <x:v>page_read</x:v>
      </x:c>
      <x:c r="H71" s="3" t="str">
        <x:v>已读来源页面</x:v>
      </x:c>
      <x:c r="I71" s="9" t="n">
        <x:v>46132</x:v>
      </x:c>
      <x:c r="J71" s="8" t="e">
        <x:f>HYPERLINK(K71,"打开来源")</x:f>
        <x:v>HYPERLINK is not implemented. linkLocation=https://caup.tongji.edu.cn/a2/c8/c33362a369352/page.htm, friendlyName=打开来源</x:v>
      </x:c>
      <x:c r="K71" s="3" t="str">
        <x:v>https://caup.tongji.edu.cn/a2/c8/c33362a369352/page.htm</x:v>
      </x:c>
      <x:c r="L71" s="3" t="str">
        <x:v>说明2026活动时间、复兴岛场地和邀请制。</x:v>
      </x:c>
      <x:c r="M71" s="9" t="n">
        <x:v>46298</x:v>
      </x:c>
    </x:row>
    <x:row r="72" ht="44" customHeight="1">
      <x:c r="A72" s="3" t="n">
        <x:v>71</x:v>
      </x:c>
      <x:c r="B72" s="3" t="str">
        <x:v>2026050</x:v>
      </x:c>
      <x:c r="C72" s="3" t="str">
        <x:v>UIA 世界大学生建筑设计竞赛</x:v>
      </x:c>
      <x:c r="D72" s="3" t="str">
        <x:v>UIA2026国际学生竞赛专题</x:v>
      </x:c>
      <x:c r="E72" s="3" t="str">
        <x:v>UIA2026 Barcelona</x:v>
      </x:c>
      <x:c r="F72" s="3" t="str">
        <x:v>官方发布</x:v>
      </x:c>
      <x:c r="G72" s="3" t="str">
        <x:v>search_result</x:v>
      </x:c>
      <x:c r="H72" s="3" t="str">
        <x:v>仅搜索结果，待核对</x:v>
      </x:c>
      <x:c r="I72" s="9" t="str"/>
      <x:c r="J72" s="8" t="e">
        <x:f>HYPERLINK(K72,"打开来源")</x:f>
        <x:v>HYPERLINK is not implemented. linkLocation=https://uia2026bcn.org/international-student-competition/, friendlyName=打开来源</x:v>
      </x:c>
      <x:c r="K72" s="3" t="str">
        <x:v>https://uia2026bcn.org/international-student-competition/</x:v>
      </x:c>
      <x:c r="L72" s="3" t="str">
        <x:v>官方专题列任务书与获奖作品；本次专题正文读取不稳定，另读取官方任务书。</x:v>
      </x:c>
      <x:c r="M72" s="9" t="n">
        <x:v>46298</x:v>
      </x:c>
    </x:row>
    <x:row r="73" ht="44" customHeight="1">
      <x:c r="A73" s="3" t="n">
        <x:v>72</x:v>
      </x:c>
      <x:c r="B73" s="3" t="str">
        <x:v>2026051</x:v>
      </x:c>
      <x:c r="C73" s="3" t="str">
        <x:v>UIA-霍普杯国际大学生建筑设计竞赛</x:v>
      </x:c>
      <x:c r="D73" s="3" t="str">
        <x:v>霍普杯2026竞赛规则</x:v>
      </x:c>
      <x:c r="E73" s="3" t="str">
        <x:v>霍普杯／城市环境设计UED</x:v>
      </x:c>
      <x:c r="F73" s="3" t="str">
        <x:v>官方发布</x:v>
      </x:c>
      <x:c r="G73" s="3" t="str">
        <x:v>page_read</x:v>
      </x:c>
      <x:c r="H73" s="3" t="str">
        <x:v>已读来源页面</x:v>
      </x:c>
      <x:c r="I73" s="9" t="str"/>
      <x:c r="J73" s="8" t="e">
        <x:f>HYPERLINK(K73,"打开来源")</x:f>
        <x:v>HYPERLINK is not implemented. linkLocation=https://hypcup.uedmagazine.net/index.php?a=index&amp;c=Lists&amp;m=home&amp;tid=39, friendlyName=打开来源</x:v>
      </x:c>
      <x:c r="K73" s="3" t="str">
        <x:v>https://hypcup.uedmagazine.net/index.php?a=index&amp;c=Lists&amp;m=home&amp;tid=39</x:v>
      </x:c>
      <x:c r="L73" s="3" t="str">
        <x:v>规则说明参赛资格、每组至多4人和提交安排；信息以本届官网为准。</x:v>
      </x:c>
      <x:c r="M73" s="9" t="n">
        <x:v>46298</x:v>
      </x:c>
    </x:row>
    <x:row r="74" ht="44" customHeight="1">
      <x:c r="A74" s="3" t="n">
        <x:v>73</x:v>
      </x:c>
      <x:c r="B74" s="3" t="str">
        <x:v>2026052</x:v>
      </x:c>
      <x:c r="C74" s="3" t="str">
        <x:v>WUPENICITY城市可持续调研报告国际竞赛（智慧低碳交通）</x:v>
      </x:c>
      <x:c r="D74" s="3" t="str">
        <x:v>2026 WUPENiCity两类竞赛获奖与作品展示</x:v>
      </x:c>
      <x:c r="E74" s="3" t="str">
        <x:v>北京建筑大学建筑与城市规划学院</x:v>
      </x:c>
      <x:c r="F74" s="3" t="str">
        <x:v>高校发布</x:v>
      </x:c>
      <x:c r="G74" s="3" t="str">
        <x:v>page_read</x:v>
      </x:c>
      <x:c r="H74" s="3" t="str">
        <x:v>已读来源页面</x:v>
      </x:c>
      <x:c r="I74" s="9" t="n">
        <x:v>46262</x:v>
      </x:c>
      <x:c r="J74" s="8" t="e">
        <x:f>HYPERLINK(K74,"打开来源")</x:f>
        <x:v>HYPERLINK is not implemented. linkLocation=https://jzxy.bucea.edu.cn/xyxx/xwxx/406ddd84682d47ada32b7e8bb69d80c5.htm, friendlyName=打开来源</x:v>
      </x:c>
      <x:c r="K74" s="3" t="str">
        <x:v>https://jzxy.bucea.edu.cn/xyxx/xwxx/406ddd84682d47ada32b7e8bb69d80c5.htm</x:v>
      </x:c>
      <x:c r="L74" s="3" t="str">
        <x:v>确认2026调研报告单元及该校获奖选题。</x:v>
      </x:c>
      <x:c r="M74" s="9" t="n">
        <x:v>46298</x:v>
      </x:c>
    </x:row>
    <x:row r="75" ht="44" customHeight="1">
      <x:c r="A75" s="3" t="n">
        <x:v>74</x:v>
      </x:c>
      <x:c r="B75" s="3" t="str">
        <x:v>2026053</x:v>
      </x:c>
      <x:c r="C75" s="3" t="str">
        <x:v>WUPENICITY城市设计学生作业国际竞赛</x:v>
      </x:c>
      <x:c r="D75" s="3" t="str">
        <x:v>2026 WUPENiCity城市设计赛主题与获奖</x:v>
      </x:c>
      <x:c r="E75" s="3" t="str">
        <x:v>华侨大学</x:v>
      </x:c>
      <x:c r="F75" s="3" t="str">
        <x:v>高校发布</x:v>
      </x:c>
      <x:c r="G75" s="3" t="str">
        <x:v>page_read</x:v>
      </x:c>
      <x:c r="H75" s="3" t="str">
        <x:v>已读来源页面</x:v>
      </x:c>
      <x:c r="I75" s="9" t="n">
        <x:v>46218</x:v>
      </x:c>
      <x:c r="J75" s="8" t="e">
        <x:f>HYPERLINK(K75,"打开来源")</x:f>
        <x:v>HYPERLINK is not implemented. linkLocation=https://news.hqu.edu.cn/info/1019/435542.htm, friendlyName=打开来源</x:v>
      </x:c>
      <x:c r="K75" s="3" t="str">
        <x:v>https://news.hqu.edu.cn/info/1019/435542.htm</x:v>
      </x:c>
      <x:c r="L75" s="3" t="str">
        <x:v>介绍2026主题及滨海片区获奖作品。</x:v>
      </x:c>
      <x:c r="M75" s="9" t="n">
        <x:v>46298</x:v>
      </x:c>
    </x:row>
    <x:row r="76" ht="44" customHeight="1">
      <x:c r="A76" s="3" t="n">
        <x:v>75</x:v>
      </x:c>
      <x:c r="B76" s="3" t="str">
        <x:v>2026054</x:v>
      </x:c>
      <x:c r="C76" s="3" t="str">
        <x:v>全国大学生花园设计建造竞赛</x:v>
      </x:c>
      <x:c r="D76" s="3" t="str">
        <x:v>2026社区花园赛道竞赛通知</x:v>
      </x:c>
      <x:c r="E76" s="3" t="str">
        <x:v>同济大学景观学系／竞赛组委会</x:v>
      </x:c>
      <x:c r="F76" s="3" t="str">
        <x:v>高校发布</x:v>
      </x:c>
      <x:c r="G76" s="3" t="str">
        <x:v>page_read</x:v>
      </x:c>
      <x:c r="H76" s="3" t="str">
        <x:v>已读来源页面</x:v>
      </x:c>
      <x:c r="I76" s="9" t="n">
        <x:v>46198</x:v>
      </x:c>
      <x:c r="J76" s="8" t="e">
        <x:f>HYPERLINK(K76,"打开来源")</x:f>
        <x:v>HYPERLINK is not implemented. linkLocation=https://landscape-caup.tongji.edu.cn/c8/f4/c10586a379124/page.htm, friendlyName=打开来源</x:v>
      </x:c>
      <x:c r="K76" s="3" t="str">
        <x:v>https://landscape-caup.tongji.edu.cn/c8/f4/c10586a379124/page.htm</x:v>
      </x:c>
      <x:c r="L76" s="3" t="str">
        <x:v>规定3—7人团队、建造运维要求和成果形式。</x:v>
      </x:c>
      <x:c r="M76" s="9" t="n">
        <x:v>46298</x:v>
      </x:c>
    </x:row>
    <x:row r="77" ht="44" customHeight="1">
      <x:c r="A77" s="3" t="n">
        <x:v>76</x:v>
      </x:c>
      <x:c r="B77" s="3" t="str">
        <x:v>2026055</x:v>
      </x:c>
      <x:c r="C77" s="3" t="str">
        <x:v>全国数字建筑创新应用大赛</x:v>
      </x:c>
      <x:c r="D77" s="3" t="str">
        <x:v>2026全国数字建筑创新应用大赛通知</x:v>
      </x:c>
      <x:c r="E77" s="3" t="str">
        <x:v>中国建设教育协会</x:v>
      </x:c>
      <x:c r="F77" s="3" t="str">
        <x:v>官方发布</x:v>
      </x:c>
      <x:c r="G77" s="3" t="str">
        <x:v>page_read</x:v>
      </x:c>
      <x:c r="H77" s="3" t="str">
        <x:v>已读来源页面</x:v>
      </x:c>
      <x:c r="I77" s="9" t="n">
        <x:v>46111</x:v>
      </x:c>
      <x:c r="J77" s="8" t="e">
        <x:f>HYPERLINK(K77,"打开来源")</x:f>
        <x:v>HYPERLINK is not implemented. linkLocation=https://www.ccen.com.cn/info/1150/5937.htm, friendlyName=打开来源</x:v>
      </x:c>
      <x:c r="K77" s="3" t="str">
        <x:v>https://www.ccen.com.cn/info/1150/5937.htm</x:v>
      </x:c>
      <x:c r="L77" s="3" t="str">
        <x:v>介绍赛项、参赛对象、比赛阶段和官方学练资源安排。</x:v>
      </x:c>
      <x:c r="M77" s="9" t="n">
        <x:v>46298</x:v>
      </x:c>
    </x:row>
    <x:row r="78" ht="44" customHeight="1">
      <x:c r="A78" s="3" t="n">
        <x:v>77</x:v>
      </x:c>
      <x:c r="B78" s="3" t="str">
        <x:v>2026056</x:v>
      </x:c>
      <x:c r="C78" s="3" t="str">
        <x:v>亚洲建筑师协会学生设计竞赛</x:v>
      </x:c>
      <x:c r="D78" s="3" t="str">
        <x:v>ARCASIA学生建筑设计竞赛官方栏目</x:v>
      </x:c>
      <x:c r="E78" s="3" t="str">
        <x:v>ARCASIA</x:v>
      </x:c>
      <x:c r="F78" s="3" t="str">
        <x:v>官方发布</x:v>
      </x:c>
      <x:c r="G78" s="3" t="str">
        <x:v>page_read</x:v>
      </x:c>
      <x:c r="H78" s="3" t="str">
        <x:v>已读来源页面</x:v>
      </x:c>
      <x:c r="I78" s="9" t="str"/>
      <x:c r="J78" s="8" t="e">
        <x:f>HYPERLINK(K78,"打开来源")</x:f>
        <x:v>HYPERLINK is not implemented. linkLocation=https://arcasia.org/arcasia-student-design-competition/, friendlyName=打开来源</x:v>
      </x:c>
      <x:c r="K78" s="3" t="str">
        <x:v>https://arcasia.org/arcasia-student-design-competition/</x:v>
      </x:c>
      <x:c r="L78" s="3" t="str">
        <x:v>栏目列2026通知、2023获奖与2020获奖电子书。</x:v>
      </x:c>
      <x:c r="M78" s="9" t="n">
        <x:v>46298</x:v>
      </x:c>
    </x:row>
    <x:row r="79" ht="44" customHeight="1">
      <x:c r="A79" s="3" t="n">
        <x:v>78</x:v>
      </x:c>
      <x:c r="B79" s="3" t="str">
        <x:v>2026056</x:v>
      </x:c>
      <x:c r="C79" s="3" t="str">
        <x:v>亚洲建筑师协会学生设计竞赛</x:v>
      </x:c>
      <x:c r="D79" s="3" t="str">
        <x:v>ARCASIA学生设计竞赛2026通知</x:v>
      </x:c>
      <x:c r="E79" s="3" t="str">
        <x:v>ARCASIA</x:v>
      </x:c>
      <x:c r="F79" s="3" t="str">
        <x:v>官方发布</x:v>
      </x:c>
      <x:c r="G79" s="3" t="str">
        <x:v>search_result</x:v>
      </x:c>
      <x:c r="H79" s="3" t="str">
        <x:v>仅搜索结果，待核对</x:v>
      </x:c>
      <x:c r="I79" s="9" t="n">
        <x:v>46128</x:v>
      </x:c>
      <x:c r="J79" s="8" t="e">
        <x:f>HYPERLINK(K79,"打开来源")</x:f>
        <x:v>HYPERLINK is not implemented. linkLocation=https://arcasia.org/awards/arcasia-students-architectural-design-competition-2026/, friendlyName=打开来源</x:v>
      </x:c>
      <x:c r="K79" s="3" t="str">
        <x:v>https://arcasia.org/awards/arcasia-students-architectural-design-competition-2026/</x:v>
      </x:c>
      <x:c r="L79" s="3" t="str">
        <x:v>官方检索显示2026规则条件PDF，详情页本次未成功读取。</x:v>
      </x:c>
      <x:c r="M79" s="9" t="n">
        <x:v>46298</x:v>
      </x:c>
    </x:row>
    <x:row r="80" ht="44" customHeight="1">
      <x:c r="A80" s="3" t="n">
        <x:v>79</x:v>
      </x:c>
      <x:c r="B80" s="3" t="str">
        <x:v>2026057</x:v>
      </x:c>
      <x:c r="C80" s="3" t="str">
        <x:v>第十届全国大学生物流设计大赛</x:v>
      </x:c>
      <x:c r="D80" s="3" t="str">
        <x:v>第九届全国大学生物流设计大赛同济校内选拔通知</x:v>
      </x:c>
      <x:c r="E80" s="3" t="str">
        <x:v>同济大学交通运输工程学院</x:v>
      </x:c>
      <x:c r="F80" s="3" t="str">
        <x:v>高校发布</x:v>
      </x:c>
      <x:c r="G80" s="3" t="str">
        <x:v>page_read</x:v>
      </x:c>
      <x:c r="H80" s="3" t="str">
        <x:v>已读来源页面</x:v>
      </x:c>
      <x:c r="I80" s="9" t="n">
        <x:v>45757</x:v>
      </x:c>
      <x:c r="J80" s="8" t="e">
        <x:f>HYPERLINK(K80,"打开来源")</x:f>
        <x:v>HYPERLINK is not implemented. linkLocation=https://tjjt.tongji.edu.cn/info/1588/11295.htm, friendlyName=打开来源</x:v>
      </x:c>
      <x:c r="K80" s="3" t="str">
        <x:v>https://tjjt.tongji.edu.cn/info/1588/11295.htm</x:v>
      </x:c>
      <x:c r="L80" s="3" t="str">
        <x:v>页面提供第九届校内选拔要求、全国赛通知与案例附件，届次明确为第九届。</x:v>
      </x:c>
      <x:c r="M80" s="9" t="n">
        <x:v>46298</x:v>
      </x:c>
    </x:row>
    <x:row r="81" ht="44" customHeight="1">
      <x:c r="A81" s="3" t="n">
        <x:v>80</x:v>
      </x:c>
      <x:c r="B81" s="3" t="str">
        <x:v>2026058</x:v>
      </x:c>
      <x:c r="C81" s="3" t="str">
        <x:v>第十届全国高校智能交通创新与创业大赛</x:v>
      </x:c>
      <x:c r="D81" s="3" t="str">
        <x:v>第十届全国高校智能交通创新与创业大赛比赛通知</x:v>
      </x:c>
      <x:c r="E81" s="3" t="str">
        <x:v>大赛官网</x:v>
      </x:c>
      <x:c r="F81" s="3" t="str">
        <x:v>官方发布</x:v>
      </x:c>
      <x:c r="G81" s="3" t="str">
        <x:v>page_read</x:v>
      </x:c>
      <x:c r="H81" s="3" t="str">
        <x:v>已读来源页面</x:v>
      </x:c>
      <x:c r="I81" s="9" t="n">
        <x:v>46128</x:v>
      </x:c>
      <x:c r="J81" s="8" t="e">
        <x:f>HYPERLINK(K81,"打开来源")</x:f>
        <x:v>HYPERLINK is not implemented. linkLocation=https://www.itsnet.cn/cd/185.html, friendlyName=打开来源</x:v>
      </x:c>
      <x:c r="K81" s="3" t="str">
        <x:v>https://www.itsnet.cn/cd/185.html</x:v>
      </x:c>
      <x:c r="L81" s="3" t="str">
        <x:v>已读取官方通知标题、发布日期及附件入口；图片正文和附件全文未成功取得。</x:v>
      </x:c>
      <x:c r="M81" s="9" t="n">
        <x:v>46298</x:v>
      </x:c>
    </x:row>
    <x:row r="82" ht="44" customHeight="1">
      <x:c r="A82" s="3" t="n">
        <x:v>81</x:v>
      </x:c>
      <x:c r="B82" s="3" t="str">
        <x:v>2026059</x:v>
      </x:c>
      <x:c r="C82" s="3" t="str">
        <x:v>全国大学生电子商务“创新、创意及创业”挑战赛</x:v>
      </x:c>
      <x:c r="D82" s="3" t="str">
        <x:v>三创赛官方平台及第十六届赛事动态</x:v>
      </x:c>
      <x:c r="E82" s="3" t="str">
        <x:v>全国大学生电子商务三创赛组委会</x:v>
      </x:c>
      <x:c r="F82" s="3" t="str">
        <x:v>官方发布</x:v>
      </x:c>
      <x:c r="G82" s="3" t="str">
        <x:v>search_result</x:v>
      </x:c>
      <x:c r="H82" s="3" t="str">
        <x:v>仅搜索结果，待核对</x:v>
      </x:c>
      <x:c r="I82" s="9" t="str"/>
      <x:c r="J82" s="8" t="e">
        <x:f>HYPERLINK(K82,"打开来源")</x:f>
        <x:v>HYPERLINK is not implemented. linkLocation=https://www.3chuang.net/, friendlyName=打开来源</x:v>
      </x:c>
      <x:c r="K82" s="3" t="str">
        <x:v>https://www.3chuang.net/</x:v>
      </x:c>
      <x:c r="L82" s="3" t="str">
        <x:v>官方搜索索引列出2026年9月第十六届全国赛奖项通知；站点正文在本轮读取中为空。</x:v>
      </x:c>
      <x:c r="M82" s="9" t="n">
        <x:v>46298</x:v>
      </x:c>
    </x:row>
    <x:row r="83" ht="44" customHeight="1">
      <x:c r="A83" s="3" t="n">
        <x:v>82</x:v>
      </x:c>
      <x:c r="B83" s="3" t="str">
        <x:v>2026059</x:v>
      </x:c>
      <x:c r="C83" s="3" t="str">
        <x:v>全国大学生电子商务“创新、创意及创业”挑战赛</x:v>
      </x:c>
      <x:c r="D83" s="3" t="str">
        <x:v>第十六届三创赛校内选拔赛报名通知</x:v>
      </x:c>
      <x:c r="E83" s="3" t="str">
        <x:v>安徽建筑大学教务处</x:v>
      </x:c>
      <x:c r="F83" s="3" t="str">
        <x:v>高校发布</x:v>
      </x:c>
      <x:c r="G83" s="3" t="str">
        <x:v>page_read</x:v>
      </x:c>
      <x:c r="H83" s="3" t="str">
        <x:v>已读来源页面</x:v>
      </x:c>
      <x:c r="I83" s="9" t="n">
        <x:v>45964</x:v>
      </x:c>
      <x:c r="J83" s="8" t="e">
        <x:f>HYPERLINK(K83,"打开来源")</x:f>
        <x:v>HYPERLINK is not implemented. linkLocation=https://www.ahjzu.edu.cn/jwc/2025/1103/c10831a258921/page.htm, friendlyName=打开来源</x:v>
      </x:c>
      <x:c r="K83" s="3" t="str">
        <x:v>https://www.ahjzu.edu.cn/jwc/2025/1103/c10831a258921/page.htm</x:v>
      </x:c>
      <x:c r="L83" s="3" t="str">
        <x:v>高校通知说明官网注册、学校审核及项目提交要求；其校内时间仅适用于该校。</x:v>
      </x:c>
      <x:c r="M83" s="9" t="n">
        <x:v>46298</x:v>
      </x:c>
    </x:row>
    <x:row r="84" ht="44" customHeight="1">
      <x:c r="A84" s="3" t="n">
        <x:v>83</x:v>
      </x:c>
      <x:c r="B84" s="3" t="str">
        <x:v>2026060</x:v>
      </x:c>
      <x:c r="C84" s="3" t="str">
        <x:v>全国大学生市场调查与分析大赛</x:v>
      </x:c>
      <x:c r="D84" s="3" t="str">
        <x:v>关于举办宁波大学2027年大学生市场调查与分析大赛的通知</x:v>
      </x:c>
      <x:c r="E84" s="3" t="str">
        <x:v>宁波大学教务处</x:v>
      </x:c>
      <x:c r="F84" s="3" t="str">
        <x:v>高校发布</x:v>
      </x:c>
      <x:c r="G84" s="3" t="str">
        <x:v>page_read</x:v>
      </x:c>
      <x:c r="H84" s="3" t="str">
        <x:v>已读来源页面</x:v>
      </x:c>
      <x:c r="I84" s="9" t="n">
        <x:v>46293</x:v>
      </x:c>
      <x:c r="J84" s="8" t="e">
        <x:f>HYPERLINK(K84,"打开来源")</x:f>
        <x:v>HYPERLINK is not implemented. linkLocation=https://jwc.nbu.edu.cn/info/1126/18026.htm, friendlyName=打开来源</x:v>
      </x:c>
      <x:c r="K84" s="3" t="str">
        <x:v>https://jwc.nbu.edu.cn/info/1126/18026.htm</x:v>
      </x:c>
      <x:c r="L84" s="3" t="str">
        <x:v>通知对应第十七届全国赛，介绍知识赛、实践赛及拟开展的专家授课；校内安排不能直接用于同济。</x:v>
      </x:c>
      <x:c r="M84" s="9" t="n">
        <x:v>46298</x:v>
      </x:c>
    </x:row>
    <x:row r="85" ht="44" customHeight="1">
      <x:c r="A85" s="3" t="n">
        <x:v>84</x:v>
      </x:c>
      <x:c r="B85" s="3" t="str">
        <x:v>2026061</x:v>
      </x:c>
      <x:c r="C85" s="3" t="str">
        <x:v>全国大学生机器人大赛-Robocon</x:v>
      </x:c>
      <x:c r="D85" s="3" t="str">
        <x:v>ROBOCON官方通知与规则目录</x:v>
      </x:c>
      <x:c r="E85" s="3" t="str">
        <x:v>全国大学生机器人大赛ROBOCON官网</x:v>
      </x:c>
      <x:c r="F85" s="3" t="str">
        <x:v>官方发布</x:v>
      </x:c>
      <x:c r="G85" s="3" t="str">
        <x:v>page_read</x:v>
      </x:c>
      <x:c r="H85" s="3" t="str">
        <x:v>已读来源页面</x:v>
      </x:c>
      <x:c r="I85" s="9" t="str"/>
      <x:c r="J85" s="8" t="e">
        <x:f>HYPERLINK(K85,"打开来源")</x:f>
        <x:v>HYPERLINK is not implemented. linkLocation=https://robocon.org.cn/h-col-104.html, friendlyName=打开来源</x:v>
      </x:c>
      <x:c r="K85" s="3" t="str">
        <x:v>https://robocon.org.cn/h-col-104.html</x:v>
      </x:c>
      <x:c r="L85" s="3" t="str">
        <x:v>目录列出2027年第26届规则，以及2026年第25届参赛手册和赛事动态。</x:v>
      </x:c>
      <x:c r="M85" s="9" t="n">
        <x:v>46298</x:v>
      </x:c>
    </x:row>
    <x:row r="86" ht="44" customHeight="1">
      <x:c r="A86" s="3" t="n">
        <x:v>85</x:v>
      </x:c>
      <x:c r="B86" s="3" t="str">
        <x:v>2026062</x:v>
      </x:c>
      <x:c r="C86" s="3" t="str">
        <x:v>日本大学生电动方程式汽车大赛（2026）</x:v>
      </x:c>
      <x:c r="D86" s="3" t="str">
        <x:v>Formula SAE Japan 2026官方公告</x:v>
      </x:c>
      <x:c r="E86" s="3" t="str">
        <x:v>日本汽车技术会（JSAE）</x:v>
      </x:c>
      <x:c r="F86" s="3" t="str">
        <x:v>官方发布</x:v>
      </x:c>
      <x:c r="G86" s="3" t="str">
        <x:v>page_read</x:v>
      </x:c>
      <x:c r="H86" s="3" t="str">
        <x:v>已读来源页面</x:v>
      </x:c>
      <x:c r="I86" s="9" t="str"/>
      <x:c r="J86" s="8" t="e">
        <x:f>HYPERLINK(K86,"打开来源")</x:f>
        <x:v>HYPERLINK is not implemented. linkLocation=https://en.jsae.or.jp/formula/fsaej/official_announce/, friendlyName=打开来源</x:v>
      </x:c>
      <x:c r="K86" s="3" t="str">
        <x:v>https://en.jsae.or.jp/formula/fsaej/official_announce/</x:v>
      </x:c>
      <x:c r="L86" s="3" t="str">
        <x:v>官方公告列出2026结果及EV、ICV分类信息，也包含后续赛季公告；2026结果不能解释为仍在报名。</x:v>
      </x:c>
      <x:c r="M86" s="9" t="n">
        <x:v>46298</x:v>
      </x:c>
    </x:row>
    <x:row r="87" ht="44" customHeight="1">
      <x:c r="A87" s="3" t="n">
        <x:v>86</x:v>
      </x:c>
      <x:c r="B87" s="3" t="str">
        <x:v>2026063</x:v>
      </x:c>
      <x:c r="C87" s="3" t="str">
        <x:v>日本大学生方程式汽车大赛（2026）</x:v>
      </x:c>
      <x:c r="D87" s="3" t="str">
        <x:v>Formula SAE Japan 2026官方公告</x:v>
      </x:c>
      <x:c r="E87" s="3" t="str">
        <x:v>日本汽车技术会（JSAE）</x:v>
      </x:c>
      <x:c r="F87" s="3" t="str">
        <x:v>官方发布</x:v>
      </x:c>
      <x:c r="G87" s="3" t="str">
        <x:v>page_read</x:v>
      </x:c>
      <x:c r="H87" s="3" t="str">
        <x:v>已读来源页面</x:v>
      </x:c>
      <x:c r="I87" s="9" t="str"/>
      <x:c r="J87" s="8" t="e">
        <x:f>HYPERLINK(K87,"打开来源")</x:f>
        <x:v>HYPERLINK is not implemented. linkLocation=https://en.jsae.or.jp/formula/fsaej/official_announce/, friendlyName=打开来源</x:v>
      </x:c>
      <x:c r="K87" s="3" t="str">
        <x:v>https://en.jsae.or.jp/formula/fsaej/official_announce/</x:v>
      </x:c>
      <x:c r="L87" s="3" t="str">
        <x:v>官方公告列出2026结果及EV、ICV分类信息，也包含后续赛季公告；2026结果不能解释为仍在报名。</x:v>
      </x:c>
      <x:c r="M87" s="9" t="n">
        <x:v>46298</x:v>
      </x:c>
    </x:row>
    <x:row r="88" ht="64" customHeight="1">
      <x:c r="A88" s="3" t="n">
        <x:v>87</x:v>
      </x:c>
      <x:c r="B88" s="3" t="str">
        <x:v>2026064</x:v>
      </x:c>
      <x:c r="C88" s="3" t="str">
        <x:v>IF设计奖（IF Design Award）</x:v>
      </x:c>
      <x:c r="D88" s="3" t="str">
        <x:v>iF DESIGN AWARD 2027报名指南</x:v>
      </x:c>
      <x:c r="E88" s="3" t="str">
        <x:v>iF Design官方文件</x:v>
      </x:c>
      <x:c r="F88" s="3" t="str">
        <x:v>官方发布</x:v>
      </x:c>
      <x:c r="G88" s="3" t="str">
        <x:v>page_read</x:v>
      </x:c>
      <x:c r="H88" s="3" t="str">
        <x:v>已读来源页面</x:v>
      </x:c>
      <x:c r="I88" s="9" t="str"/>
      <x:c r="J88" s="8" t="e">
        <x:f>HYPERLINK(K88,"打开来源")</x:f>
        <x:v>HYPERLINK is not implemented. linkLocation=https://assets.ctfassets.net/9el74s703hin/3LisaU32dIdDzCjhL4V8r2/9c007f552f1cbbfa1dc9ecaea88b84a5/iF_DESIGN_AWARD_2027_-_Registration_Guide_-_English.pdf, friendlyName=打开来源</x:v>
      </x:c>
      <x:c r="K88" s="3" t="str">
        <x:v>https://assets.ctfassets.net/9el74s703hin/3LisaU32dIdDzCjhL4V8r2/9c007f552f1cbbfa1dc9ecaea88b84a5/iF_DESIGN_AWARD_2027_-_Registration_Guide_-_English.pdf</x:v>
      </x:c>
      <x:c r="L88" s="3" t="str">
        <x:v>4页指南载明专业奖申报、材料与费用，并指明学生及近期毕业者应参加学生奖。</x:v>
      </x:c>
      <x:c r="M88" s="9" t="n">
        <x:v>46298</x:v>
      </x:c>
    </x:row>
    <x:row r="89" ht="44" customHeight="1">
      <x:c r="A89" s="3" t="n">
        <x:v>88</x:v>
      </x:c>
      <x:c r="B89" s="3" t="str">
        <x:v>2026064</x:v>
      </x:c>
      <x:c r="C89" s="3" t="str">
        <x:v>IF设计奖（IF Design Award）</x:v>
      </x:c>
      <x:c r="D89" s="3" t="str">
        <x:v>iF DESIGN STUDENT AWARD 2027</x:v>
      </x:c>
      <x:c r="E89" s="3" t="str">
        <x:v>iF Design</x:v>
      </x:c>
      <x:c r="F89" s="3" t="str">
        <x:v>官方发布</x:v>
      </x:c>
      <x:c r="G89" s="3" t="str">
        <x:v>search_result</x:v>
      </x:c>
      <x:c r="H89" s="3" t="str">
        <x:v>仅搜索结果，待核对</x:v>
      </x:c>
      <x:c r="I89" s="9" t="str"/>
      <x:c r="J89" s="8" t="e">
        <x:f>HYPERLINK(K89,"打开来源")</x:f>
        <x:v>HYPERLINK is not implemented. linkLocation=https://ifdesign.com/en/if-design-student-award, friendlyName=打开来源</x:v>
      </x:c>
      <x:c r="K89" s="3" t="str">
        <x:v>https://ifdesign.com/en/if-design-student-award</x:v>
      </x:c>
      <x:c r="L89" s="3" t="str">
        <x:v>官方搜索索引列有2027截止日、学生奖免费注册、评审维度和2026获奖项目入口；网页直接读取失败。</x:v>
      </x:c>
      <x:c r="M89" s="9" t="n">
        <x:v>46298</x:v>
      </x:c>
    </x:row>
    <x:row r="90" ht="44" customHeight="1">
      <x:c r="A90" s="3" t="n">
        <x:v>89</x:v>
      </x:c>
      <x:c r="B90" s="3" t="str">
        <x:v>2026065</x:v>
      </x:c>
      <x:c r="C90" s="3" t="str">
        <x:v>红点设计大奖（Red Dot Design Award）</x:v>
      </x:c>
      <x:c r="D90" s="3" t="str">
        <x:v>红点奖官方赛事总览</x:v>
      </x:c>
      <x:c r="E90" s="3" t="str">
        <x:v>Red Dot</x:v>
      </x:c>
      <x:c r="F90" s="3" t="str">
        <x:v>官方发布</x:v>
      </x:c>
      <x:c r="G90" s="3" t="str">
        <x:v>page_read</x:v>
      </x:c>
      <x:c r="H90" s="3" t="str">
        <x:v>已读来源页面</x:v>
      </x:c>
      <x:c r="I90" s="9" t="str"/>
      <x:c r="J90" s="8" t="e">
        <x:f>HYPERLINK(K90,"打开来源")</x:f>
        <x:v>HYPERLINK is not implemented. linkLocation=https://www.red-dot.org/award, friendlyName=打开来源</x:v>
      </x:c>
      <x:c r="K90" s="3" t="str">
        <x:v>https://www.red-dot.org/award</x:v>
      </x:c>
      <x:c r="L90" s="3" t="str">
        <x:v>官网显示2027产品设计早鸟阶段至2026-10-09，2026设计概念报名已关闭；三项比赛分别举办。</x:v>
      </x:c>
      <x:c r="M90" s="9" t="n">
        <x:v>46298</x:v>
      </x:c>
    </x:row>
    <x:row r="91" ht="44" customHeight="1">
      <x:c r="A91" s="3" t="n">
        <x:v>90</x:v>
      </x:c>
      <x:c r="B91" s="3" t="str">
        <x:v>2026065</x:v>
      </x:c>
      <x:c r="C91" s="3" t="str">
        <x:v>红点设计大奖（Red Dot Design Award）</x:v>
      </x:c>
      <x:c r="D91" s="3" t="str">
        <x:v>Red Dot 2027产品设计FAQ</x:v>
      </x:c>
      <x:c r="E91" s="3" t="str">
        <x:v>Red Dot</x:v>
      </x:c>
      <x:c r="F91" s="3" t="str">
        <x:v>官方发布</x:v>
      </x:c>
      <x:c r="G91" s="3" t="str">
        <x:v>page_read</x:v>
      </x:c>
      <x:c r="H91" s="3" t="str">
        <x:v>已读来源页面</x:v>
      </x:c>
      <x:c r="I91" s="9" t="str"/>
      <x:c r="J91" s="8" t="e">
        <x:f>HYPERLINK(K91,"打开来源")</x:f>
        <x:v>HYPERLINK is not implemented. linkLocation=https://www.red-dot.org/pd/faq, friendlyName=打开来源</x:v>
      </x:c>
      <x:c r="K91" s="3" t="str">
        <x:v>https://www.red-dot.org/pd/faq</x:v>
      </x:c>
      <x:c r="L91" s="3" t="str">
        <x:v>页面说明2027产品设计资格、报名期间、材料、实物送审及费用；不能套用到设计概念奖。</x:v>
      </x:c>
      <x:c r="M91" s="9" t="n">
        <x:v>46298</x:v>
      </x:c>
    </x:row>
    <x:row r="92" ht="44" customHeight="1">
      <x:c r="A92" s="3" t="n">
        <x:v>91</x:v>
      </x:c>
      <x:c r="B92" s="3" t="str">
        <x:v>2026066</x:v>
      </x:c>
      <x:c r="C92" s="3" t="str">
        <x:v>两岸新锐设计竞赛华灿奖</x:v>
      </x:c>
      <x:c r="D92" s="3" t="str">
        <x:v>关于举办2026新锐设计竞赛·华灿奖的通知</x:v>
      </x:c>
      <x:c r="E92" s="3" t="str">
        <x:v>成都大学创新创业学院</x:v>
      </x:c>
      <x:c r="F92" s="3" t="str">
        <x:v>高校发布</x:v>
      </x:c>
      <x:c r="G92" s="3" t="str">
        <x:v>page_read</x:v>
      </x:c>
      <x:c r="H92" s="3" t="str">
        <x:v>已读来源页面</x:v>
      </x:c>
      <x:c r="I92" s="9" t="n">
        <x:v>46286</x:v>
      </x:c>
      <x:c r="J92" s="8" t="e">
        <x:f>HYPERLINK(K92,"打开来源")</x:f>
        <x:v>HYPERLINK is not implemented. linkLocation=https://cxcyxy.cdu.edu.cn/info/1019/4390.htm, friendlyName=打开来源</x:v>
      </x:c>
      <x:c r="K92" s="3" t="str">
        <x:v>https://cxcyxy.cdu.edu.cn/info/1019/4390.htm</x:v>
      </x:c>
      <x:c r="L92" s="3" t="str">
        <x:v>通知写明2026创意征集截止2026-11-27 17:00、定向主题截止2027-03-05 17:00及官网计划开放日。</x:v>
      </x:c>
      <x:c r="M92" s="9" t="n">
        <x:v>46298</x:v>
      </x:c>
    </x:row>
    <x:row r="93" ht="44" customHeight="1">
      <x:c r="A93" s="3" t="n">
        <x:v>92</x:v>
      </x:c>
      <x:c r="B93" s="3" t="str">
        <x:v>2026066</x:v>
      </x:c>
      <x:c r="C93" s="3" t="str">
        <x:v>两岸新锐设计竞赛华灿奖</x:v>
      </x:c>
      <x:c r="D93" s="3" t="str">
        <x:v>2026华灿奖校内选拔赛通知及全国章程附件入口</x:v>
      </x:c>
      <x:c r="E93" s="3" t="str">
        <x:v>西安工业大学设计学院</x:v>
      </x:c>
      <x:c r="F93" s="3" t="str">
        <x:v>高校发布</x:v>
      </x:c>
      <x:c r="G93" s="3" t="str">
        <x:v>page_read</x:v>
      </x:c>
      <x:c r="H93" s="3" t="str">
        <x:v>已读来源页面</x:v>
      </x:c>
      <x:c r="I93" s="9" t="n">
        <x:v>46279</x:v>
      </x:c>
      <x:c r="J93" s="8" t="e">
        <x:f>HYPERLINK(K93,"打开来源")</x:f>
        <x:v>HYPERLINK is not implemented. linkLocation=https://sam.xatu.edu.cn/info/14948/198385.htm, friendlyName=打开来源</x:v>
      </x:c>
      <x:c r="K93" s="3" t="str">
        <x:v>https://sam.xatu.edu.cn/info/14948/198385.htm</x:v>
      </x:c>
      <x:c r="L93" s="3" t="str">
        <x:v>通知再次确认官网开放日和全国创意征集期限，附章程实施方案；校内安排仅适用于该校。</x:v>
      </x:c>
      <x:c r="M93" s="9" t="n">
        <x:v>46298</x:v>
      </x:c>
    </x:row>
    <x:row r="94" ht="44" customHeight="1">
      <x:c r="A94" s="3" t="n">
        <x:v>93</x:v>
      </x:c>
      <x:c r="B94" s="3" t="str">
        <x:v>2026067</x:v>
      </x:c>
      <x:c r="C94" s="3" t="str">
        <x:v>全国工业设计大赛</x:v>
      </x:c>
      <x:c r="D94" s="3" t="str">
        <x:v>全国大学生工业设计大赛官网（候选）</x:v>
      </x:c>
      <x:c r="E94" s="3" t="str">
        <x:v>全国大学生工业设计大赛组委会</x:v>
      </x:c>
      <x:c r="F94" s="3" t="str">
        <x:v>官方发布</x:v>
      </x:c>
      <x:c r="G94" s="3" t="str">
        <x:v>search_result</x:v>
      </x:c>
      <x:c r="H94" s="3" t="str">
        <x:v>仅搜索结果，待核对</x:v>
      </x:c>
      <x:c r="I94" s="9" t="str"/>
      <x:c r="J94" s="8" t="e">
        <x:f>HYPERLINK(K94,"打开来源")</x:f>
        <x:v>HYPERLINK is not implemented. linkLocation=https://cuidc.net/default.aspx, friendlyName=打开来源</x:v>
      </x:c>
      <x:c r="K94" s="3" t="str">
        <x:v>https://cuidc.net/default.aspx</x:v>
      </x:c>
      <x:c r="L94" s="3" t="str">
        <x:v>官方搜索结果展示2026第八届通知；实开仅返回JavaScript提示。</x:v>
      </x:c>
      <x:c r="M94" s="9" t="n">
        <x:v>46298</x:v>
      </x:c>
    </x:row>
    <x:row r="95" ht="44" customHeight="1">
      <x:c r="A95" s="3" t="n">
        <x:v>94</x:v>
      </x:c>
      <x:c r="B95" s="3" t="str">
        <x:v>2026068</x:v>
      </x:c>
      <x:c r="C95" s="3" t="str">
        <x:v>未来设计师·全国高校数字艺术设计大赛</x:v>
      </x:c>
      <x:c r="D95" s="3" t="str">
        <x:v>NCDA竞赛办法</x:v>
      </x:c>
      <x:c r="E95" s="3" t="str">
        <x:v>未来设计师NCDA组委会</x:v>
      </x:c>
      <x:c r="F95" s="3" t="str">
        <x:v>官方发布</x:v>
      </x:c>
      <x:c r="G95" s="3" t="str">
        <x:v>page_read</x:v>
      </x:c>
      <x:c r="H95" s="3" t="str">
        <x:v>已读来源页面</x:v>
      </x:c>
      <x:c r="I95" s="9" t="str"/>
      <x:c r="J95" s="8" t="e">
        <x:f>HYPERLINK(K95,"打开来源")</x:f>
        <x:v>HYPERLINK is not implemented. linkLocation=https://www.ncda.org.cn/dsjs/dssz/, friendlyName=打开来源</x:v>
      </x:c>
      <x:c r="K95" s="3" t="str">
        <x:v>https://www.ncda.org.cn/dsjs/dssz/</x:v>
      </x:c>
      <x:c r="L95" s="3" t="str">
        <x:v>已阅读2026第14届参赛对象、赛道、评审和作品要求。</x:v>
      </x:c>
      <x:c r="M95" s="9" t="n">
        <x:v>46298</x:v>
      </x:c>
    </x:row>
    <x:row r="96" ht="44" customHeight="1">
      <x:c r="A96" s="3" t="n">
        <x:v>95</x:v>
      </x:c>
      <x:c r="B96" s="3" t="str">
        <x:v>2026069</x:v>
      </x:c>
      <x:c r="C96" s="3" t="str">
        <x:v>中美青年创客大赛</x:v>
      </x:c>
      <x:c r="D96" s="3" t="str">
        <x:v>2026中美青年创客大赛参赛要求</x:v>
      </x:c>
      <x:c r="E96" s="3" t="str">
        <x:v>中国（教育部）留学服务中心</x:v>
      </x:c>
      <x:c r="F96" s="3" t="str">
        <x:v>官方发布</x:v>
      </x:c>
      <x:c r="G96" s="3" t="str">
        <x:v>page_read</x:v>
      </x:c>
      <x:c r="H96" s="3" t="str">
        <x:v>已读来源页面</x:v>
      </x:c>
      <x:c r="I96" s="9" t="str"/>
      <x:c r="J96" s="8" t="e">
        <x:f>HYPERLINK(K96,"打开来源")</x:f>
        <x:v>HYPERLINK is not implemented. linkLocation=https://chinaus-maker.cscse.edu.cn/chinaus-maker/gyds/csyq22/index.html, friendlyName=打开来源</x:v>
      </x:c>
      <x:c r="K96" s="3" t="str">
        <x:v>https://chinaus-maker.cscse.edu.cn/chinaus-maker/gyds/csyq22/index.html</x:v>
      </x:c>
      <x:c r="L96" s="3" t="str">
        <x:v>明确2026赛道、作品原型、原创性及技术来源要求。</x:v>
      </x:c>
      <x:c r="M96" s="9" t="n">
        <x:v>46298</x:v>
      </x:c>
    </x:row>
    <x:row r="97" ht="44" customHeight="1">
      <x:c r="A97" s="3" t="n">
        <x:v>96</x:v>
      </x:c>
      <x:c r="B97" s="3" t="str">
        <x:v>2026070</x:v>
      </x:c>
      <x:c r="C97" s="3" t="str">
        <x:v>国际遗传工程机器大赛（IGEM）</x:v>
      </x:c>
      <x:c r="D97" s="3" t="str">
        <x:v>iGEM Competition 2026官方入口</x:v>
      </x:c>
      <x:c r="E97" s="3" t="str">
        <x:v>iGEM Foundation</x:v>
      </x:c>
      <x:c r="F97" s="3" t="str">
        <x:v>官方发布</x:v>
      </x:c>
      <x:c r="G97" s="3" t="str">
        <x:v>search_result</x:v>
      </x:c>
      <x:c r="H97" s="3" t="str">
        <x:v>仅搜索结果，待核对</x:v>
      </x:c>
      <x:c r="I97" s="9" t="str"/>
      <x:c r="J97" s="8" t="e">
        <x:f>HYPERLINK(K97,"打开来源")</x:f>
        <x:v>HYPERLINK is not implemented. linkLocation=https://competition.igem.org/, friendlyName=打开来源</x:v>
      </x:c>
      <x:c r="K97" s="3" t="str">
        <x:v>https://competition.igem.org/</x:v>
      </x:c>
      <x:c r="L97" s="3" t="str">
        <x:v>官方索引展示2026赛季、项目规划、交付物与团队资源。</x:v>
      </x:c>
      <x:c r="M97" s="9" t="n">
        <x:v>46298</x:v>
      </x:c>
    </x:row>
    <x:row r="98" ht="50" customHeight="1">
      <x:c r="A98" s="3" t="n">
        <x:v>97</x:v>
      </x:c>
      <x:c r="B98" s="3" t="str">
        <x:v>2026071</x:v>
      </x:c>
      <x:c r="C98" s="3" t="str">
        <x:v>全国大学生生命科学竞赛（创新创业类）</x:v>
      </x:c>
      <x:c r="D98" s="3" t="str">
        <x:v>第十一届创新创业类报名通知（高校公开附件）</x:v>
      </x:c>
      <x:c r="E98" s="3" t="str">
        <x:v>全国大学生生命科学竞赛委员会／中国农业大学公开附件</x:v>
      </x:c>
      <x:c r="F98" s="3" t="str">
        <x:v>高校发布</x:v>
      </x:c>
      <x:c r="G98" s="3" t="str">
        <x:v>search_result</x:v>
      </x:c>
      <x:c r="H98" s="3" t="str">
        <x:v>仅搜索结果，待核对</x:v>
      </x:c>
      <x:c r="I98" s="9" t="str"/>
      <x:c r="J98" s="8" t="e">
        <x:f>HYPERLINK(K98,"打开来源")</x:f>
        <x:v>HYPERLINK is not implemented. linkLocation=https://cbs.cau.edu.cn/module/download/downfile.jsp?classid=0&amp;filename=c088354256534e789eefde0370b9d2d4.pdf, friendlyName=打开来源</x:v>
      </x:c>
      <x:c r="K98" s="3" t="str">
        <x:v>https://cbs.cau.edu.cn/module/download/downfile.jsp?classid=0&amp;filename=c088354256534e789eefde0370b9d2d4.pdf</x:v>
      </x:c>
      <x:c r="L98" s="3" t="str">
        <x:v>官方通知摘要明确2026创新创业类组织方式、组别和参赛内容。</x:v>
      </x:c>
      <x:c r="M98" s="9" t="n">
        <x:v>46298</x:v>
      </x:c>
    </x:row>
    <x:row r="99" ht="44" customHeight="1">
      <x:c r="A99" s="3" t="n">
        <x:v>98</x:v>
      </x:c>
      <x:c r="B99" s="3" t="str">
        <x:v>2026072</x:v>
      </x:c>
      <x:c r="C99" s="3" t="str">
        <x:v>全国大学生生命科学竞赛（科学探究类）</x:v>
      </x:c>
      <x:c r="D99" s="3" t="str">
        <x:v>第十一届科学探究类官方通知PDF</x:v>
      </x:c>
      <x:c r="E99" s="3" t="str">
        <x:v>全国大学生生命科学竞赛委员会／长江大学公开附件</x:v>
      </x:c>
      <x:c r="F99" s="3" t="str">
        <x:v>高校发布</x:v>
      </x:c>
      <x:c r="G99" s="3" t="str">
        <x:v>page_read</x:v>
      </x:c>
      <x:c r="H99" s="3" t="str">
        <x:v>已读来源页面</x:v>
      </x:c>
      <x:c r="I99" s="9" t="n">
        <x:v>45869</x:v>
      </x:c>
      <x:c r="J99" s="8" t="e">
        <x:f>HYPERLINK(K99,"打开来源")</x:f>
        <x:v>HYPERLINK is not implemented. linkLocation=https://sky.yangtzeu.edu.cn/__local/E/24/1B/85D922800D61F0CC331CE340B1D_93B0E90E_977FA.pdf, friendlyName=打开来源</x:v>
      </x:c>
      <x:c r="K99" s="3" t="str">
        <x:v>https://sky.yangtzeu.edu.cn/__local/E/24/1B/85D922800D61F0CC331CE340B1D_93B0E90E_977FA.pdf</x:v>
      </x:c>
      <x:c r="L99" s="3" t="str">
        <x:v>六页通知包含实施流程、材料提交、网络评审和记录要求。</x:v>
      </x:c>
      <x:c r="M99" s="9" t="n">
        <x:v>46298</x:v>
      </x:c>
    </x:row>
    <x:row r="100" ht="44" customHeight="1">
      <x:c r="A100" s="3" t="n">
        <x:v>99</x:v>
      </x:c>
      <x:c r="B100" s="3" t="str">
        <x:v>2026073</x:v>
      </x:c>
      <x:c r="C100" s="3" t="str">
        <x:v>第十八届全国大学生数学竞赛</x:v>
      </x:c>
      <x:c r="D100" s="3" t="str">
        <x:v>关于举办第十八届全国大学生数学竞赛的通知</x:v>
      </x:c>
      <x:c r="E100" s="3" t="str">
        <x:v>中国数学会</x:v>
      </x:c>
      <x:c r="F100" s="3" t="str">
        <x:v>官方发布</x:v>
      </x:c>
      <x:c r="G100" s="3" t="str">
        <x:v>official_index</x:v>
      </x:c>
      <x:c r="H100" s="3" t="str">
        <x:v>已确认索引或入口</x:v>
      </x:c>
      <x:c r="I100" s="9" t="n">
        <x:v>46205</x:v>
      </x:c>
      <x:c r="J100" s="8" t="e">
        <x:f>HYPERLINK(K100,"打开来源")</x:f>
        <x:v>HYPERLINK is not implemented. linkLocation=https://www.cms.org.cn/Home/comp/comp_details/id/1449.html, friendlyName=打开来源</x:v>
      </x:c>
      <x:c r="K100" s="3" t="str">
        <x:v>https://www.cms.org.cn/Home/comp/comp_details/id/1449.html</x:v>
      </x:c>
      <x:c r="L100" s="3" t="str">
        <x:v>已核对官方标题、2026年7月2日发布日期和通知PDF入口；通知主体为图片。</x:v>
      </x:c>
      <x:c r="M100" s="9" t="n">
        <x:v>46298</x:v>
      </x:c>
    </x:row>
    <x:row r="101" ht="44" customHeight="1">
      <x:c r="A101" s="3" t="n">
        <x:v>100</x:v>
      </x:c>
      <x:c r="B101" s="3" t="str">
        <x:v>2026074</x:v>
      </x:c>
      <x:c r="C101" s="3" t="str">
        <x:v>全国大学生数学建模竞赛(2026)</x:v>
      </x:c>
      <x:c r="D101" s="3" t="str">
        <x:v>全国大学生数学建模竞赛官网</x:v>
      </x:c>
      <x:c r="E101" s="3" t="str">
        <x:v>中国工业与应用数学学会全国组委会</x:v>
      </x:c>
      <x:c r="F101" s="3" t="str">
        <x:v>官方发布</x:v>
      </x:c>
      <x:c r="G101" s="3" t="str">
        <x:v>page_read</x:v>
      </x:c>
      <x:c r="H101" s="3" t="str">
        <x:v>已读来源页面</x:v>
      </x:c>
      <x:c r="I101" s="9" t="str"/>
      <x:c r="J101" s="8" t="e">
        <x:f>HYPERLINK(K101,"打开来源")</x:f>
        <x:v>HYPERLINK is not implemented. linkLocation=https://www.mcm.edu.cn/, friendlyName=打开来源</x:v>
      </x:c>
      <x:c r="K101" s="3" t="str">
        <x:v>https://www.mcm.edu.cn/</x:v>
      </x:c>
      <x:c r="L101" s="3" t="str">
        <x:v>已核对2026赛事、赛题发布及官方课程中心链接。</x:v>
      </x:c>
      <x:c r="M101" s="9" t="n">
        <x:v>46298</x:v>
      </x:c>
    </x:row>
    <x:row r="102" ht="44" customHeight="1">
      <x:c r="A102" s="3" t="n">
        <x:v>101</x:v>
      </x:c>
      <x:c r="B102" s="3" t="str">
        <x:v>2026075</x:v>
      </x:c>
      <x:c r="C102" s="3" t="str">
        <x:v>全国大学生统计建模大赛（2026）</x:v>
      </x:c>
      <x:c r="D102" s="3" t="str">
        <x:v>2026年第十二届统计建模大赛通知</x:v>
      </x:c>
      <x:c r="E102" s="3" t="str">
        <x:v>中国统计教育学会／大赛组委会</x:v>
      </x:c>
      <x:c r="F102" s="3" t="str">
        <x:v>官方发布</x:v>
      </x:c>
      <x:c r="G102" s="3" t="str">
        <x:v>search_result</x:v>
      </x:c>
      <x:c r="H102" s="3" t="str">
        <x:v>仅搜索结果，待核对</x:v>
      </x:c>
      <x:c r="I102" s="9" t="str"/>
      <x:c r="J102" s="8" t="e">
        <x:f>HYPERLINK(K102,"打开来源")</x:f>
        <x:v>HYPERLINK is not implemented. linkLocation=https://www.ai-learning.net/dstz/37119.jhtml, friendlyName=打开来源</x:v>
      </x:c>
      <x:c r="K102" s="3" t="str">
        <x:v>https://www.ai-learning.net/dstz/37119.jhtml</x:v>
      </x:c>
      <x:c r="L102" s="3" t="str">
        <x:v>官方摘要确认主题、组别、材料与评审阶段；直接读取失败。</x:v>
      </x:c>
      <x:c r="M102" s="9" t="n">
        <x:v>46298</x:v>
      </x:c>
    </x:row>
    <x:row r="103" ht="44" customHeight="1">
      <x:c r="A103" s="3" t="n">
        <x:v>102</x:v>
      </x:c>
      <x:c r="B103" s="3" t="str">
        <x:v>2026075</x:v>
      </x:c>
      <x:c r="C103" s="3" t="str">
        <x:v>全国大学生统计建模大赛（2026）</x:v>
      </x:c>
      <x:c r="D103" s="3" t="str">
        <x:v>2026国赛获奖名单通知</x:v>
      </x:c>
      <x:c r="E103" s="3" t="str">
        <x:v>中国统计教育学会</x:v>
      </x:c>
      <x:c r="F103" s="3" t="str">
        <x:v>官方发布</x:v>
      </x:c>
      <x:c r="G103" s="3" t="str">
        <x:v>search_result</x:v>
      </x:c>
      <x:c r="H103" s="3" t="str">
        <x:v>仅搜索结果，待核对</x:v>
      </x:c>
      <x:c r="I103" s="9" t="n">
        <x:v>46259</x:v>
      </x:c>
      <x:c r="J103" s="8" t="e">
        <x:f>HYPERLINK(K103,"打开来源")</x:f>
        <x:v>HYPERLINK is not implemented. linkLocation=https://www.ai-learning.net/dsdt/37144.jhtml, friendlyName=打开来源</x:v>
      </x:c>
      <x:c r="K103" s="3" t="str">
        <x:v>https://www.ai-learning.net/dsdt/37144.jhtml</x:v>
      </x:c>
      <x:c r="L103" s="3" t="str">
        <x:v>官方结果通知显示该届已进行评审和答辩。</x:v>
      </x:c>
      <x:c r="M103" s="9" t="n">
        <x:v>46298</x:v>
      </x:c>
    </x:row>
    <x:row r="104" ht="50" customHeight="1">
      <x:c r="A104" s="3" t="n">
        <x:v>103</x:v>
      </x:c>
      <x:c r="B104" s="3" t="str">
        <x:v>2026076</x:v>
      </x:c>
      <x:c r="C104" s="3" t="str">
        <x:v>美国ASCE大学生土木工程竞赛</x:v>
      </x:c>
      <x:c r="D104" s="3" t="str">
        <x:v>ASCE Civil Engineering Student Championships</x:v>
      </x:c>
      <x:c r="E104" s="3" t="str">
        <x:v>American Society of Civil Engineers</x:v>
      </x:c>
      <x:c r="F104" s="3" t="str">
        <x:v>官方发布</x:v>
      </x:c>
      <x:c r="G104" s="3" t="str">
        <x:v>page_read</x:v>
      </x:c>
      <x:c r="H104" s="3" t="str">
        <x:v>已读来源页面</x:v>
      </x:c>
      <x:c r="I104" s="9" t="str"/>
      <x:c r="J104" s="8" t="e">
        <x:f>HYPERLINK(K104,"打开来源")</x:f>
        <x:v>HYPERLINK is not implemented. linkLocation=https://www.asce.org/communities/student-members/conferences/asce-civil-engineering-student-championships, friendlyName=打开来源</x:v>
      </x:c>
      <x:c r="K104" s="3" t="str">
        <x:v>https://www.asce.org/communities/student-members/conferences/asce-civil-engineering-student-championships</x:v>
      </x:c>
      <x:c r="L104" s="3" t="str">
        <x:v>官方总页介绍各赛项，当前展示2027锦标赛。</x:v>
      </x:c>
      <x:c r="M104" s="9" t="n">
        <x:v>46298</x:v>
      </x:c>
    </x:row>
    <x:row r="105" ht="44" customHeight="1">
      <x:c r="A105" s="3" t="n">
        <x:v>104</x:v>
      </x:c>
      <x:c r="B105" s="3" t="str">
        <x:v>2026077</x:v>
      </x:c>
      <x:c r="C105" s="3" t="str">
        <x:v>全国大学生结构设计竞赛</x:v>
      </x:c>
      <x:c r="D105" s="3" t="str">
        <x:v>2026结构设计竞赛及全国赛题附件入口</x:v>
      </x:c>
      <x:c r="E105" s="3" t="str">
        <x:v>辽宁工程技术大学创新实践学院</x:v>
      </x:c>
      <x:c r="F105" s="3" t="str">
        <x:v>高校发布</x:v>
      </x:c>
      <x:c r="G105" s="3" t="str">
        <x:v>page_read</x:v>
      </x:c>
      <x:c r="H105" s="3" t="str">
        <x:v>已读来源页面</x:v>
      </x:c>
      <x:c r="I105" s="9" t="n">
        <x:v>46087</x:v>
      </x:c>
      <x:c r="J105" s="8" t="e">
        <x:f>HYPERLINK(K105,"打开来源")</x:f>
        <x:v>HYPERLINK is not implemented. linkLocation=https://cxxy.lntu.edu.cn/info/1134/4785.htm, friendlyName=打开来源</x:v>
      </x:c>
      <x:c r="K105" s="3" t="str">
        <x:v>https://cxxy.lntu.edu.cn/info/1134/4785.htm</x:v>
      </x:c>
      <x:c r="L105" s="3" t="str">
        <x:v>高校通知明确引用2026第十九届全国题目并公开附件。</x:v>
      </x:c>
      <x:c r="M105" s="9" t="n">
        <x:v>46298</x:v>
      </x:c>
    </x:row>
    <x:row r="106" ht="44" customHeight="1">
      <x:c r="A106" s="3" t="n">
        <x:v>105</x:v>
      </x:c>
      <x:c r="B106" s="3" t="str">
        <x:v>2026078</x:v>
      </x:c>
      <x:c r="C106" s="3" t="str">
        <x:v>全国高校BIM毕业设计创新大赛</x:v>
      </x:c>
      <x:c r="D106" s="3" t="str">
        <x:v>BIM毕业设计大赛官网</x:v>
      </x:c>
      <x:c r="E106" s="3" t="str">
        <x:v>BIM毕业设计大赛组委会／广联达</x:v>
      </x:c>
      <x:c r="F106" s="3" t="str">
        <x:v>官方发布</x:v>
      </x:c>
      <x:c r="G106" s="3" t="str">
        <x:v>official_index</x:v>
      </x:c>
      <x:c r="H106" s="3" t="str">
        <x:v>已确认索引或入口</x:v>
      </x:c>
      <x:c r="I106" s="9" t="str"/>
      <x:c r="J106" s="8" t="e">
        <x:f>HYPERLINK(K106,"打开来源")</x:f>
        <x:v>HYPERLINK is not implemented. linkLocation=https://gxbsxs.glodonedu.com/, friendlyName=打开来源</x:v>
      </x:c>
      <x:c r="K106" s="3" t="str">
        <x:v>https://gxbsxs.glodonedu.com/</x:v>
      </x:c>
      <x:c r="L106" s="3" t="str">
        <x:v>当前页面标题为第十三届国际高校BIM毕业设计大赛，正文为动态内容。</x:v>
      </x:c>
      <x:c r="M106" s="9" t="n">
        <x:v>46298</x:v>
      </x:c>
    </x:row>
    <x:row r="107" ht="44" customHeight="1">
      <x:c r="A107" s="3" t="n">
        <x:v>106</x:v>
      </x:c>
      <x:c r="B107" s="3" t="str">
        <x:v>2026078</x:v>
      </x:c>
      <x:c r="C107" s="3" t="str">
        <x:v>全国高校BIM毕业设计创新大赛</x:v>
      </x:c>
      <x:c r="D107" s="3" t="str">
        <x:v>第九届官方竞赛内容（往届）</x:v>
      </x:c>
      <x:c r="E107" s="3" t="str">
        <x:v>BIM毕业设计大赛组委会／广联达</x:v>
      </x:c>
      <x:c r="F107" s="3" t="str">
        <x:v>官方发布</x:v>
      </x:c>
      <x:c r="G107" s="3" t="str">
        <x:v>page_read</x:v>
      </x:c>
      <x:c r="H107" s="3" t="str">
        <x:v>已读来源页面</x:v>
      </x:c>
      <x:c r="I107" s="9" t="str"/>
      <x:c r="J107" s="8" t="e">
        <x:f>HYPERLINK(K107,"打开来源")</x:f>
        <x:v>HYPERLINK is not implemented. linkLocation=https://gxbsxs-9.glodonedu.com/workcompety, friendlyName=打开来源</x:v>
      </x:c>
      <x:c r="K107" s="3" t="str">
        <x:v>https://gxbsxs-9.glodonedu.com/workcompety</x:v>
      </x:c>
      <x:c r="L107" s="3" t="str">
        <x:v>已阅读第九届学生赛道模块与任务指导书入口；为2022—2023赛季历史资料。</x:v>
      </x:c>
      <x:c r="M107" s="9" t="n">
        <x:v>46298</x:v>
      </x:c>
    </x:row>
    <x:row r="108" ht="44" customHeight="1">
      <x:c r="A108" s="3" t="n">
        <x:v>107</x:v>
      </x:c>
      <x:c r="B108" s="3" t="str">
        <x:v>2026079</x:v>
      </x:c>
      <x:c r="C108" s="3" t="str">
        <x:v>“外研社·国才杯”“理解当代中国”全国大学生外语能力大赛（德语组）</x:v>
      </x:c>
      <x:c r="D108" s="3" t="str">
        <x:v>2026德语组比赛样题（省赛）</x:v>
      </x:c>
      <x:c r="E108" s="3" t="str">
        <x:v>外语教学与研究出版社</x:v>
      </x:c>
      <x:c r="F108" s="3" t="str">
        <x:v>官方发布</x:v>
      </x:c>
      <x:c r="G108" s="3" t="str">
        <x:v>official_index</x:v>
      </x:c>
      <x:c r="H108" s="3" t="str">
        <x:v>已确认索引或入口</x:v>
      </x:c>
      <x:c r="I108" s="9" t="n">
        <x:v>46269</x:v>
      </x:c>
      <x:c r="J108" s="8" t="e">
        <x:f>HYPERLINK(K108,"打开来源")</x:f>
        <x:v>HYPERLINK is not implemented. linkLocation=https://ucc.fltrp.com/c/2026-09-04/519783.shtml, friendlyName=打开来源</x:v>
      </x:c>
      <x:c r="K108" s="3" t="str">
        <x:v>https://ucc.fltrp.com/c/2026-09-04/519783.shtml</x:v>
      </x:c>
      <x:c r="L108" s="3" t="str">
        <x:v>官网标题和样题索引确认德语组及2026发布日期，网页未解析出样题正文。</x:v>
      </x:c>
      <x:c r="M108" s="9" t="n">
        <x:v>46298</x:v>
      </x:c>
    </x:row>
    <x:row r="109" ht="44" customHeight="1">
      <x:c r="A109" s="3" t="n">
        <x:v>108</x:v>
      </x:c>
      <x:c r="B109" s="3" t="str">
        <x:v>2026080</x:v>
      </x:c>
      <x:c r="C109" s="3" t="str">
        <x:v>“外研社·国才杯”“理解当代中国”全国大学生外语能力大赛（日语组）</x:v>
      </x:c>
      <x:c r="D109" s="3" t="str">
        <x:v>2026日语组比赛样题（省赛）</x:v>
      </x:c>
      <x:c r="E109" s="3" t="str">
        <x:v>外语教学与研究出版社</x:v>
      </x:c>
      <x:c r="F109" s="3" t="str">
        <x:v>官方发布</x:v>
      </x:c>
      <x:c r="G109" s="3" t="str">
        <x:v>official_index</x:v>
      </x:c>
      <x:c r="H109" s="3" t="str">
        <x:v>已确认索引或入口</x:v>
      </x:c>
      <x:c r="I109" s="9" t="n">
        <x:v>46269</x:v>
      </x:c>
      <x:c r="J109" s="8" t="e">
        <x:f>HYPERLINK(K109,"打开来源")</x:f>
        <x:v>HYPERLINK is not implemented. linkLocation=https://ucc.fltrp.com/c/2026-09-04/519795.shtml, friendlyName=打开来源</x:v>
      </x:c>
      <x:c r="K109" s="3" t="str">
        <x:v>https://ucc.fltrp.com/c/2026-09-04/519795.shtml</x:v>
      </x:c>
      <x:c r="L109" s="3" t="str">
        <x:v>官网标题和样题索引确认日语组及发布日期，未解析到样题全文。</x:v>
      </x:c>
      <x:c r="M109" s="9" t="n">
        <x:v>46298</x:v>
      </x:c>
    </x:row>
    <x:row r="110" ht="44" customHeight="1">
      <x:c r="A110" s="3" t="n">
        <x:v>109</x:v>
      </x:c>
      <x:c r="B110" s="3" t="str">
        <x:v>2026081</x:v>
      </x:c>
      <x:c r="C110" s="3" t="str">
        <x:v>“外研社·国才杯”“理解当代中国”全国大学生外语能力大赛（英语组）</x:v>
      </x:c>
      <x:c r="D110" s="3" t="str">
        <x:v>2026英语组国际传播综合能力赛项样题及评分标准</x:v>
      </x:c>
      <x:c r="E110" s="3" t="str">
        <x:v>外语教学与研究出版社</x:v>
      </x:c>
      <x:c r="F110" s="3" t="str">
        <x:v>官方发布</x:v>
      </x:c>
      <x:c r="G110" s="3" t="str">
        <x:v>page_read</x:v>
      </x:c>
      <x:c r="H110" s="3" t="str">
        <x:v>已读来源页面</x:v>
      </x:c>
      <x:c r="I110" s="9" t="n">
        <x:v>46108</x:v>
      </x:c>
      <x:c r="J110" s="8" t="e">
        <x:f>HYPERLINK(K110,"打开来源")</x:f>
        <x:v>HYPERLINK is not implemented. linkLocation=https://ucc.fltrp.com/c/2026-03-27/541272.shtml, friendlyName=打开来源</x:v>
      </x:c>
      <x:c r="K110" s="3" t="str">
        <x:v>https://ucc.fltrp.com/c/2026-03-27/541272.shtml</x:v>
      </x:c>
      <x:c r="L110" s="3" t="str">
        <x:v>说明校赛读写译考查及后续阶段安排，并提供样题。</x:v>
      </x:c>
      <x:c r="M110" s="9" t="n">
        <x:v>46298</x:v>
      </x:c>
    </x:row>
    <x:row r="111" ht="44" customHeight="1">
      <x:c r="A111" s="3" t="n">
        <x:v>110</x:v>
      </x:c>
      <x:c r="B111" s="3" t="str">
        <x:v>2026081</x:v>
      </x:c>
      <x:c r="C111" s="3" t="str">
        <x:v>“外研社·国才杯”“理解当代中国”全国大学生外语能力大赛（英语组）</x:v>
      </x:c>
      <x:c r="D111" s="3" t="str">
        <x:v>2026英语组笔译赛项样题及评分标准</x:v>
      </x:c>
      <x:c r="E111" s="3" t="str">
        <x:v>外语教学与研究出版社</x:v>
      </x:c>
      <x:c r="F111" s="3" t="str">
        <x:v>官方发布</x:v>
      </x:c>
      <x:c r="G111" s="3" t="str">
        <x:v>page_read</x:v>
      </x:c>
      <x:c r="H111" s="3" t="str">
        <x:v>已读来源页面</x:v>
      </x:c>
      <x:c r="I111" s="9" t="n">
        <x:v>46108</x:v>
      </x:c>
      <x:c r="J111" s="8" t="e">
        <x:f>HYPERLINK(K111,"打开来源")</x:f>
        <x:v>HYPERLINK is not implemented. linkLocation=https://ucc.fltrp.com/c/2026-03-27/541273.shtml, friendlyName=打开来源</x:v>
      </x:c>
      <x:c r="K111" s="3" t="str">
        <x:v>https://ucc.fltrp.com/c/2026-03-27/541273.shtml</x:v>
      </x:c>
      <x:c r="L111" s="3" t="str">
        <x:v>分别说明校赛、省赛和国赛的翻译任务。</x:v>
      </x:c>
      <x:c r="M111" s="9" t="n">
        <x:v>46298</x:v>
      </x:c>
    </x:row>
    <x:row r="112" ht="44" customHeight="1">
      <x:c r="A112" s="3" t="n">
        <x:v>111</x:v>
      </x:c>
      <x:c r="B112" s="3" t="str">
        <x:v>2026082</x:v>
      </x:c>
      <x:c r="C112" s="3" t="str">
        <x:v>第31届“21世纪杯”全国英语演讲比赛</x:v>
      </x:c>
      <x:c r="D112" s="3" t="str">
        <x:v>中国日报社“21世纪杯”全国英语演讲比赛章程</x:v>
      </x:c>
      <x:c r="E112" s="3" t="str">
        <x:v>21世纪报社</x:v>
      </x:c>
      <x:c r="F112" s="3" t="str">
        <x:v>官方发布</x:v>
      </x:c>
      <x:c r="G112" s="3" t="str">
        <x:v>page_read</x:v>
      </x:c>
      <x:c r="H112" s="3" t="str">
        <x:v>已读来源页面</x:v>
      </x:c>
      <x:c r="I112" s="9" t="n">
        <x:v>46053</x:v>
      </x:c>
      <x:c r="J112" s="8" t="e">
        <x:f>HYPERLINK(K112,"打开来源")</x:f>
        <x:v>HYPERLINK is not implemented. linkLocation=https://contest.i21st.cn/college/article/6990.html, friendlyName=打开来源</x:v>
      </x:c>
      <x:c r="K112" s="3" t="str">
        <x:v>https://contest.i21st.cn/college/article/6990.html</x:v>
      </x:c>
      <x:c r="L112" s="3" t="str">
        <x:v>2026章程列组织单位、组别、赛程与评分维度。</x:v>
      </x:c>
      <x:c r="M112" s="9" t="n">
        <x:v>46298</x:v>
      </x:c>
    </x:row>
    <x:row r="113" ht="44" customHeight="1">
      <x:c r="A113" s="3" t="n">
        <x:v>112</x:v>
      </x:c>
      <x:c r="B113" s="3" t="str">
        <x:v>2026083</x:v>
      </x:c>
      <x:c r="C113" s="3" t="str">
        <x:v>第九届“外教社杯”全国高校学生跨文化能力大赛</x:v>
      </x:c>
      <x:c r="D113" s="3" t="str">
        <x:v>第九届全国高校学生跨文化能力大赛章程</x:v>
      </x:c>
      <x:c r="E113" s="3" t="str">
        <x:v>上海外语教育出版社跨文化能力测试中心</x:v>
      </x:c>
      <x:c r="F113" s="3" t="str">
        <x:v>官方发布</x:v>
      </x:c>
      <x:c r="G113" s="3" t="str">
        <x:v>page_read</x:v>
      </x:c>
      <x:c r="H113" s="3" t="str">
        <x:v>已读来源页面</x:v>
      </x:c>
      <x:c r="I113" s="9" t="str"/>
      <x:c r="J113" s="8" t="e">
        <x:f>HYPERLINK(K113,"打开来源")</x:f>
        <x:v>HYPERLINK is not implemented. linkLocation=https://ictvd.oss-cn-beijing.aliyuncs.com/uploadfile/2026/0401/20260401041236519.pdf, friendlyName=打开来源</x:v>
      </x:c>
      <x:c r="K113" s="3" t="str">
        <x:v>https://ictvd.oss-cn-beijing.aliyuncs.com/uploadfile/2026/0401/20260401041236519.pdf</x:v>
      </x:c>
      <x:c r="L113" s="3" t="str">
        <x:v>39页官方章程，包含赛事宗旨、组织安排及比赛要求。</x:v>
      </x:c>
      <x:c r="M113" s="9" t="n">
        <x:v>46298</x:v>
      </x:c>
    </x:row>
    <x:row r="114" ht="44" customHeight="1">
      <x:c r="A114" s="3" t="n">
        <x:v>113</x:v>
      </x:c>
      <x:c r="B114" s="3" t="str">
        <x:v>2026084</x:v>
      </x:c>
      <x:c r="C114" s="3" t="str">
        <x:v>全国大学生英语竞赛</x:v>
      </x:c>
      <x:c r="D114" s="3" t="str">
        <x:v>2026年全国大学生英语竞赛报名通知</x:v>
      </x:c>
      <x:c r="E114" s="3" t="str">
        <x:v>中国地质大学（武汉）本科生院</x:v>
      </x:c>
      <x:c r="F114" s="3" t="str">
        <x:v>高校发布</x:v>
      </x:c>
      <x:c r="G114" s="3" t="str">
        <x:v>page_read</x:v>
      </x:c>
      <x:c r="H114" s="3" t="str">
        <x:v>已读来源页面</x:v>
      </x:c>
      <x:c r="I114" s="9" t="n">
        <x:v>46020</x:v>
      </x:c>
      <x:c r="J114" s="8" t="e">
        <x:f>HYPERLINK(K114,"打开来源")</x:f>
        <x:v>HYPERLINK is not implemented. linkLocation=https://bksy.cug.edu.cn/info/1504/18594.htm, friendlyName=打开来源</x:v>
      </x:c>
      <x:c r="K114" s="3" t="str">
        <x:v>https://bksy.cug.edu.cn/info/1504/18594.htm</x:v>
      </x:c>
      <x:c r="L114" s="3" t="str">
        <x:v>说明A/B/C/D类别、全国考试安排及官方样题发布入口；报名安排为该校专用。</x:v>
      </x:c>
      <x:c r="M114" s="9" t="n">
        <x:v>46298</x:v>
      </x:c>
    </x:row>
    <x:row r="115" ht="44" customHeight="1">
      <x:c r="A115" s="3" t="n">
        <x:v>114</x:v>
      </x:c>
      <x:c r="B115" s="3" t="str">
        <x:v>2026084</x:v>
      </x:c>
      <x:c r="C115" s="3" t="str">
        <x:v>全国大学生英语竞赛</x:v>
      </x:c>
      <x:c r="D115" s="3" t="str">
        <x:v>2026初赛通知及题型调整提醒</x:v>
      </x:c>
      <x:c r="E115" s="3" t="str">
        <x:v>浙江师范大学外国语学院</x:v>
      </x:c>
      <x:c r="F115" s="3" t="str">
        <x:v>高校发布</x:v>
      </x:c>
      <x:c r="G115" s="3" t="str">
        <x:v>page_read</x:v>
      </x:c>
      <x:c r="H115" s="3" t="str">
        <x:v>已读来源页面</x:v>
      </x:c>
      <x:c r="I115" s="9" t="n">
        <x:v>46014</x:v>
      </x:c>
      <x:c r="J115" s="8" t="e">
        <x:f>HYPERLINK(K115,"打开来源")</x:f>
        <x:v>HYPERLINK is not implemented. linkLocation=https://flc.zjnu.edu.cn/2025/1222/c19548a541375/page.htm, friendlyName=打开来源</x:v>
      </x:c>
      <x:c r="K115" s="3" t="str">
        <x:v>https://flc.zjnu.edu.cn/2025/1222/c19548a541375/page.htm</x:v>
      </x:c>
      <x:c r="L115" s="3" t="str">
        <x:v>明确提醒2026题型调整，报名与省赛说明限当地。</x:v>
      </x:c>
      <x:c r="M115" s="9" t="n">
        <x:v>46298</x:v>
      </x:c>
    </x:row>
    <x:row r="116" ht="50" customHeight="1">
      <x:c r="A116" s="3" t="n">
        <x:v>115</x:v>
      </x:c>
      <x:c r="B116" s="3" t="str">
        <x:v>2026085</x:v>
      </x:c>
      <x:c r="C116" s="3" t="str">
        <x:v>全国大学生光电设计竞赛</x:v>
      </x:c>
      <x:c r="D116" s="3" t="str">
        <x:v>关于举办第十四届全国大学生光电设计竞赛的通知</x:v>
      </x:c>
      <x:c r="E116" s="3" t="str">
        <x:v>全国大学生光电设计竞赛委员会（南京信息工程大学转载）</x:v>
      </x:c>
      <x:c r="F116" s="3" t="str">
        <x:v>高校发布</x:v>
      </x:c>
      <x:c r="G116" s="3" t="str">
        <x:v>page_read</x:v>
      </x:c>
      <x:c r="H116" s="3" t="str">
        <x:v>已读来源页面</x:v>
      </x:c>
      <x:c r="I116" s="9" t="n">
        <x:v>46031</x:v>
      </x:c>
      <x:c r="J116" s="8" t="e">
        <x:f>HYPERLINK(K116,"打开来源")</x:f>
        <x:v>HYPERLINK is not implemented. linkLocation=https://wdy.nuist.edu.cn/_upload/article/files/e8/cb/f2ed60c748e28c0254c5523a259e/1033eff1-a5c0-49c4-badb-991b00bf2633.pdf, friendlyName=打开来源</x:v>
      </x:c>
      <x:c r="K116" s="3" t="str">
        <x:v>https://wdy.nuist.edu.cn/_upload/article/files/e8/cb/f2ed60c748e28c0254c5523a259e/1033eff1-a5c0-49c4-badb-991b00bf2633.pdf</x:v>
      </x:c>
      <x:c r="L116" s="3" t="str">
        <x:v>组委会原通知，说明2026赛道与组织方式。</x:v>
      </x:c>
      <x:c r="M116" s="9" t="n">
        <x:v>46298</x:v>
      </x:c>
    </x:row>
    <x:row r="117" ht="50" customHeight="1">
      <x:c r="A117" s="3" t="n">
        <x:v>116</x:v>
      </x:c>
      <x:c r="B117" s="3" t="str">
        <x:v>2026085</x:v>
      </x:c>
      <x:c r="C117" s="3" t="str">
        <x:v>全国大学生光电设计竞赛</x:v>
      </x:c>
      <x:c r="D117" s="3" t="str">
        <x:v>第十四届“宇瞳杯”光学设计赛道通知</x:v>
      </x:c>
      <x:c r="E117" s="3" t="str">
        <x:v>光学设计赛道分委员会（南京信息工程大学转载）</x:v>
      </x:c>
      <x:c r="F117" s="3" t="str">
        <x:v>高校发布</x:v>
      </x:c>
      <x:c r="G117" s="3" t="str">
        <x:v>page_read</x:v>
      </x:c>
      <x:c r="H117" s="3" t="str">
        <x:v>已读来源页面</x:v>
      </x:c>
      <x:c r="I117" s="9" t="n">
        <x:v>46082</x:v>
      </x:c>
      <x:c r="J117" s="8" t="e">
        <x:f>HYPERLINK(K117,"打开来源")</x:f>
        <x:v>HYPERLINK is not implemented. linkLocation=https://wdy.nuist.edu.cn/_upload/article/files/e8/cb/f2ed60c748e28c0254c5523a259e/a507a594-be6c-49c3-8c08-6c356e178e6e.pdf, friendlyName=打开来源</x:v>
      </x:c>
      <x:c r="K117" s="3" t="str">
        <x:v>https://wdy.nuist.edu.cn/_upload/article/files/e8/cb/f2ed60c748e28c0254c5523a259e/a507a594-be6c-49c3-8c08-6c356e178e6e.pdf</x:v>
      </x:c>
      <x:c r="L117" s="3" t="str">
        <x:v>7页通知含赛题附件、设计报告提交要求及赛道安排。</x:v>
      </x:c>
      <x:c r="M117" s="9" t="n">
        <x:v>46298</x:v>
      </x:c>
    </x:row>
    <x:row r="118" ht="44" customHeight="1">
      <x:c r="A118" s="3" t="n">
        <x:v>117</x:v>
      </x:c>
      <x:c r="B118" s="3" t="str">
        <x:v>2026086</x:v>
      </x:c>
      <x:c r="C118" s="3" t="str">
        <x:v>全国大学生物理实验竞赛（创新）（2026）</x:v>
      </x:c>
      <x:c r="D118" s="3" t="str">
        <x:v>第十二届全国大学生物理实验竞赛（创新）第一轮通知</x:v>
      </x:c>
      <x:c r="E118" s="3" t="str">
        <x:v>竞赛组委会（北京科技大学转载）</x:v>
      </x:c>
      <x:c r="F118" s="3" t="str">
        <x:v>高校发布</x:v>
      </x:c>
      <x:c r="G118" s="3" t="str">
        <x:v>page_read</x:v>
      </x:c>
      <x:c r="H118" s="3" t="str">
        <x:v>已读来源页面</x:v>
      </x:c>
      <x:c r="I118" s="9" t="str"/>
      <x:c r="J118" s="8" t="e">
        <x:f>HYPERLINK(K118,"打开来源")</x:f>
        <x:v>HYPERLINK is not implemented. linkLocation=https://jwc.ustb.edu.cn/docs/2026-03/ce7f8929264847f5b89a67e54d9117c5.pdf, friendlyName=打开来源</x:v>
      </x:c>
      <x:c r="K118" s="3" t="str">
        <x:v>https://jwc.ustb.edu.cn/docs/2026-03/ce7f8929264847f5b89a67e54d9117c5.pdf</x:v>
      </x:c>
      <x:c r="L118" s="3" t="str">
        <x:v>4页全国通知，说明2026比赛类别、参赛要求及组织安排。</x:v>
      </x:c>
      <x:c r="M118" s="9" t="n">
        <x:v>46298</x:v>
      </x:c>
    </x:row>
    <x:row r="119" ht="44" customHeight="1">
      <x:c r="A119" s="3" t="n">
        <x:v>118</x:v>
      </x:c>
      <x:c r="B119" s="3" t="str">
        <x:v>2026087</x:v>
      </x:c>
      <x:c r="C119" s="3" t="str">
        <x:v>第三届全国大学生职业规划大赛</x:v>
      </x:c>
      <x:c r="D119" s="3" t="str">
        <x:v>教育部关于举办第三届全国大学生职业规划大赛的通知</x:v>
      </x:c>
      <x:c r="E119" s="3" t="str">
        <x:v>教育部</x:v>
      </x:c>
      <x:c r="F119" s="3" t="str">
        <x:v>官方发布</x:v>
      </x:c>
      <x:c r="G119" s="3" t="str">
        <x:v>page_read</x:v>
      </x:c>
      <x:c r="H119" s="3" t="str">
        <x:v>已读来源页面</x:v>
      </x:c>
      <x:c r="I119" s="9" t="n">
        <x:v>45951</x:v>
      </x:c>
      <x:c r="J119" s="8" t="e">
        <x:f>HYPERLINK(K119,"打开来源")</x:f>
        <x:v>HYPERLINK is not implemented. linkLocation=https://hudong.moe.gov.cn/srcsite/A15/s7063/202510/t20251021_1417550.html, friendlyName=打开来源</x:v>
      </x:c>
      <x:c r="K119" s="3" t="str">
        <x:v>https://hudong.moe.gov.cn/srcsite/A15/s7063/202510/t20251021_1417550.html</x:v>
      </x:c>
      <x:c r="L119" s="3" t="str">
        <x:v>介绍赛道、赛制、赛程，并链接成长、就业等赛道方案。</x:v>
      </x:c>
      <x:c r="M119" s="9" t="n">
        <x:v>46298</x:v>
      </x:c>
    </x:row>
    <x:row r="120" ht="50" customHeight="1">
      <x:c r="A120" s="3" t="n">
        <x:v>119</x:v>
      </x:c>
      <x:c r="B120" s="3" t="str">
        <x:v>2026088</x:v>
      </x:c>
      <x:c r="C120" s="3" t="str">
        <x:v>全国大学生医学创新大赛暨“一带一路”国际竞赛</x:v>
      </x:c>
      <x:c r="D120" s="3" t="str">
        <x:v>第十二届全国大学生医学创新大赛暨“一带一路”国际竞赛第一轮通知</x:v>
      </x:c>
      <x:c r="E120" s="3" t="str">
        <x:v>高等学校大学生医学创新竞赛委员会（南京中医药大学转载）</x:v>
      </x:c>
      <x:c r="F120" s="3" t="str">
        <x:v>高校发布</x:v>
      </x:c>
      <x:c r="G120" s="3" t="str">
        <x:v>page_read</x:v>
      </x:c>
      <x:c r="H120" s="3" t="str">
        <x:v>已读来源页面</x:v>
      </x:c>
      <x:c r="I120" s="9" t="str"/>
      <x:c r="J120" s="8" t="e">
        <x:f>HYPERLINK(K120,"打开来源")</x:f>
        <x:v>HYPERLINK is not implemented. linkLocation=https://jwc.njucm.edu.cn/_upload/article/files/55/1e/2dc96cc0439cbb1e00e19c2efd1d/bc70b9e0-1159-4e6e-a50d-da41780dc199.pdf, friendlyName=打开来源</x:v>
      </x:c>
      <x:c r="K120" s="3" t="str">
        <x:v>https://jwc.njucm.edu.cn/_upload/article/files/55/1e/2dc96cc0439cbb1e00e19c2efd1d/bc70b9e0-1159-4e6e-a50d-da41780dc199.pdf</x:v>
      </x:c>
      <x:c r="L120" s="3" t="str">
        <x:v>13页组委会文件，列组织、参赛资格、学科赛道、作品及评审安排。</x:v>
      </x:c>
      <x:c r="M120" s="9" t="n">
        <x:v>46298</x:v>
      </x:c>
    </x:row>
    <x:row r="121" ht="44" customHeight="1">
      <x:c r="A121" s="3" t="n">
        <x:v>120</x:v>
      </x:c>
      <x:c r="B121" s="3" t="str">
        <x:v>2026088</x:v>
      </x:c>
      <x:c r="C121" s="3" t="str">
        <x:v>全国大学生医学创新大赛暨“一带一路”国际竞赛</x:v>
      </x:c>
      <x:c r="D121" s="3" t="str">
        <x:v>医学创新大赛官网通知索引</x:v>
      </x:c>
      <x:c r="E121" s="3" t="str">
        <x:v>高等学校大学生医学创新竞赛委员会</x:v>
      </x:c>
      <x:c r="F121" s="3" t="str">
        <x:v>官方发布</x:v>
      </x:c>
      <x:c r="G121" s="3" t="str">
        <x:v>search_result</x:v>
      </x:c>
      <x:c r="H121" s="3" t="str">
        <x:v>仅搜索结果，待核对</x:v>
      </x:c>
      <x:c r="I121" s="9" t="str"/>
      <x:c r="J121" s="8" t="e">
        <x:f>HYPERLINK(K121,"打开来源")</x:f>
        <x:v>HYPERLINK is not implemented. linkLocation=https://www.jcyxds.com/, friendlyName=打开来源</x:v>
      </x:c>
      <x:c r="K121" s="3" t="str">
        <x:v>https://www.jcyxds.com/</x:v>
      </x:c>
      <x:c r="L121" s="3" t="str">
        <x:v>搜索索引可见2026第十二届总决赛获奖通知；直接打开超时。</x:v>
      </x:c>
      <x:c r="M121" s="9" t="n">
        <x:v>46298</x:v>
      </x:c>
    </x:row>
    <x:row r="122" ht="44" customHeight="1">
      <x:c r="A122" s="3" t="n">
        <x:v>121</x:v>
      </x:c>
      <x:c r="B122" s="3" t="str">
        <x:v>2026089</x:v>
      </x:c>
      <x:c r="C122" s="3" t="str">
        <x:v>大学生数字媒体科技作品及创意竞赛</x:v>
      </x:c>
      <x:c r="D122" s="3" t="str">
        <x:v>关于举办2026年第十四届全国大学生数字媒体科技作品及创意竞赛的通知</x:v>
      </x:c>
      <x:c r="E122" s="3" t="str">
        <x:v>全国大学生数字媒体科技作品及创意竞赛组委会</x:v>
      </x:c>
      <x:c r="F122" s="3" t="str">
        <x:v>官方发布</x:v>
      </x:c>
      <x:c r="G122" s="3" t="str">
        <x:v>page_read</x:v>
      </x:c>
      <x:c r="H122" s="3" t="str">
        <x:v>已读来源页面</x:v>
      </x:c>
      <x:c r="I122" s="9" t="n">
        <x:v>46291</x:v>
      </x:c>
      <x:c r="J122" s="8" t="e">
        <x:f>HYPERLINK(K122,"打开来源")</x:f>
        <x:v>HYPERLINK is not implemented. linkLocation=https://www.cmit.cn/html/tongzhigonggao/show-144-45826-1.html, friendlyName=打开来源</x:v>
      </x:c>
      <x:c r="K122" s="3" t="str">
        <x:v>https://www.cmit.cn/html/tongzhigonggao/show-144-45826-1.html</x:v>
      </x:c>
      <x:c r="L122" s="3" t="str">
        <x:v>通知列自主选题与指定命题、团队要求和赛程，报名及提交截止为2026年10月23日23:59:59。</x:v>
      </x:c>
      <x:c r="M122" s="9" t="n">
        <x:v>46298</x:v>
      </x:c>
    </x:row>
  </x:sheetData>
  <x:pageMargins left="0.7" right="0.7" top="0.75" bottom="0.75" header="0.3" footer="0.3"/>
  <x:tableParts count="1">
    <x:tablePart xmlns:r="http://schemas.openxmlformats.org/officeDocument/2006/relationships" r:id="R33ee0bdc00854dad"/>
  </x:tableParts>
</x:worksheet>
</file>

<file path=xl/worksheets/sheet4.xml><?xml version="1.0" encoding="utf-8"?>
<x:worksheet xmlns:x="http://schemas.openxmlformats.org/spreadsheetml/2006/main">
  <x:sheetPr>
    <x:tabColor rgb="FFB5C2CF"/>
  </x:sheetPr>
  <x:sheetViews>
    <x:sheetView showGridLines="0" workbookViewId="0"/>
  </x:sheetViews>
  <x:sheetFormatPr defaultRowHeight="15"/>
  <x:cols>
    <x:col min="1" max="1" width="29" hidden="0" customWidth="1"/>
    <x:col min="2" max="2" width="110" hidden="0" customWidth="1"/>
  </x:cols>
  <x:sheetData>
    <x:row r="1" ht="30" customHeight="1">
      <x:c r="A1" s="14" t="str">
        <x:v>事项</x:v>
      </x:c>
      <x:c r="B1" s="14" t="str">
        <x:v>说明</x:v>
      </x:c>
    </x:row>
    <x:row r="2" ht="46" customHeight="1">
      <x:c r="A2" s="12" t="str">
        <x:v>范围</x:v>
      </x:c>
      <x:c r="B2" s="12" t="str">
        <x:v>同济大学本科生学科竞赛目录（2026版）第1—89项，编号2026001—2026089。目录中2026068的重复行按同一赛事合并。</x:v>
      </x:c>
    </x:row>
    <x:row r="3" ht="46" customHeight="1">
      <x:c r="A3" s="12" t="str">
        <x:v>资料用途</x:v>
      </x:c>
      <x:c r="B3" s="12" t="str">
        <x:v>人工整理的赛事摘要、来源链接及学习资料索引，供团队审核和后续知识库整理。不是网页、附件或视频全文归档。</x:v>
      </x:c>
    </x:row>
    <x:row r="4" ht="30" customHeight="1">
      <x:c r="A4" s="12" t="str">
        <x:v>整理基准日</x:v>
      </x:c>
      <x:c r="B4" s="15" t="n">
        <x:v>46298</x:v>
      </x:c>
    </x:row>
    <x:row r="5" ht="30" customHeight="1">
      <x:c r="A5" s="12" t="str">
        <x:v>赛事数量</x:v>
      </x:c>
      <x:c r="B5" s="12" t="n">
        <x:v>89</x:v>
      </x:c>
    </x:row>
    <x:row r="6" ht="30" customHeight="1">
      <x:c r="A6" s="12" t="str">
        <x:v>赛事来源条目</x:v>
      </x:c>
      <x:c r="B6" s="12" t="n">
        <x:v>121</x:v>
      </x:c>
    </x:row>
    <x:row r="7" ht="30" customHeight="1">
      <x:c r="A7" s="12" t="str">
        <x:v>学习资料条目</x:v>
      </x:c>
      <x:c r="B7" s="12" t="n">
        <x:v>212</x:v>
      </x:c>
    </x:row>
    <x:row r="8" ht="30" customHeight="1">
      <x:c r="A8" s="12" t="str">
        <x:v>待确认对应范围数量</x:v>
      </x:c>
      <x:c r="B8" s="12" t="n">
        <x:v>5</x:v>
      </x:c>
    </x:row>
    <x:row r="9" ht="30" customHeight="1">
      <x:c r="A9" s="12" t="str">
        <x:v>来源对应尚待核验数量</x:v>
      </x:c>
      <x:c r="B9" s="12" t="n">
        <x:v>11</x:v>
      </x:c>
    </x:row>
    <x:row r="10" ht="30" customHeight="1">
      <x:c r="A10" s="12" t="str">
        <x:v>赛事来源正文待补数量</x:v>
      </x:c>
      <x:c r="B10" s="12" t="n">
        <x:v>15</x:v>
      </x:c>
    </x:row>
    <x:row r="11" ht="30" customHeight="1">
      <x:c r="A11" s="12" t="str">
        <x:v>page_read</x:v>
      </x:c>
      <x:c r="B11" s="12" t="str">
        <x:v>已阅读链接指向的页面。页面中的附件、视频或课程内容未必已打开，需结合摘要和缺项说明判断。</x:v>
      </x:c>
    </x:row>
    <x:row r="12" ht="30" customHeight="1">
      <x:c r="A12" s="12" t="str">
        <x:v>official_index</x:v>
      </x:c>
      <x:c r="B12" s="12" t="str">
        <x:v>已找到官方或高校页面中的资料索引、附件链接或入口，资料内容仍待进一步核对。</x:v>
      </x:c>
    </x:row>
    <x:row r="13" ht="30" customHeight="1">
      <x:c r="A13" s="12" t="str">
        <x:v>search_result</x:v>
      </x:c>
      <x:c r="B13" s="12" t="str">
        <x:v>目前仅查到来源站点的搜索结果，直接访问受限或未读到页面正文，不计为已经完成核验。</x:v>
      </x:c>
    </x:row>
    <x:row r="14" ht="64" customHeight="1">
      <x:c r="A14" s="12" t="str">
        <x:v>两个状态的区别</x:v>
      </x:c>
      <x:c r="B14" s="12" t="str">
        <x:v>对应关系为73项已有来源依据、5项对应范围待确认、11项来源对应尚待核验；它与来源页面是否读到是不同维度。赛事来源中没有page_read的共有15项。official_index可提供映射线索，但不代表正文已读。</x:v>
      </x:c>
    </x:row>
    <x:row r="15" ht="46" customHeight="1">
      <x:c r="A15" s="12" t="str">
        <x:v>对应范围待确认</x:v>
      </x:c>
      <x:c r="B15" s="12" t="str">
        <x:v>2026052、2026057、2026063、2026064、2026067。不能仅凭相似名称把不同赛事、届次或组别视为同一项。</x:v>
      </x:c>
    </x:row>
    <x:row r="16" ht="64" customHeight="1">
      <x:c r="A16" s="12" t="str">
        <x:v>赛事来源正文待补编号</x:v>
      </x:c>
      <x:c r="B16" s="12" t="str">
        <x:v>2026004、2026005、2026011、2026013、2026015、2026016、2026018、2026050、2026067、2026070、2026071、2026073、2026075、2026079、2026080</x:v>
      </x:c>
    </x:row>
    <x:row r="17" ht="46" customHeight="1">
      <x:c r="A17" s="12" t="str">
        <x:v>日期规则</x:v>
      </x:c>
      <x:c r="B17" s="12" t="str">
        <x:v>原文发布日期缺失时留空，不推测报名截止时间。2026、2027及往届资料按原始说明保留，不混作同届。</x:v>
      </x:c>
    </x:row>
    <x:row r="18" ht="30" customHeight="1">
      <x:c r="A18" s="12" t="str">
        <x:v>学习资料数量口径</x:v>
      </x:c>
      <x:c r="B18" s="12" t="str">
        <x:v>212条为资料条目数，不等于212个独立下载文件。同一官方页面可能指向多份不同用途的资料。</x:v>
      </x:c>
    </x:row>
    <x:row r="19" ht="46" customHeight="1">
      <x:c r="A19" s="12" t="str">
        <x:v>使用方式</x:v>
      </x:c>
      <x:c r="B19" s="12" t="str">
        <x:v>在表头筛选目录编号、资料类型、证据代码或待补状态；点击“打开来源”访问原网页。来源网址列保留原始地址。</x:v>
      </x:c>
    </x:row>
    <x:row r="20" ht="46" customHeight="1">
      <x:c r="A20" s="12" t="str">
        <x:v>维护源文件</x:v>
      </x:c>
      <x:c r="B20" s="12" t="str">
        <x:v>同目录整理底稿.json。工作簿是审阅导出件；修订后应先同步底稿，再重新生成，避免两个版本不一致。</x:v>
      </x:c>
    </x:row>
    <x:row r="21" ht="30" customHeight="1">
      <x:c r="A21" s="12" t="str">
        <x:v>数据边界</x:v>
      </x:c>
      <x:c r="B21" s="12" t="str">
        <x:v>本表不提供联系人、个人邮箱或账号密钥。公开材料是否允许转载和再分发，需要按来源授权另行确认。</x:v>
      </x:c>
    </x:row>
    <x:row r="22" ht="30" customHeight="1">
      <x:c r="A22" s="12" t="str">
        <x:v>入库边界</x:v>
      </x:c>
      <x:c r="B22" s="12" t="str">
        <x:v>本表记录人工摘要及链接，不表示已发布到前台、已同步线上数据库或已经接通AI问答。</x:v>
      </x:c>
    </x:row>
  </x:sheetData>
  <x:pageMargins left="0.7" right="0.7" top="0.75" bottom="0.75" header="0.3" footer="0.3"/>
</x:worksheet>
</file>